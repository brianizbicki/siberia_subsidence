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/>
  <mc:AlternateContent xmlns:mc="http://schemas.openxmlformats.org/markup-compatibility/2006">
    <mc:Choice Requires="x15">
      <x15ac:absPath xmlns:x15ac="http://schemas.microsoft.com/office/spreadsheetml/2010/11/ac" url="C:\Users\Administrator\Desktop\EA IRMS data\"/>
    </mc:Choice>
  </mc:AlternateContent>
  <xr:revisionPtr revIDLastSave="0" documentId="13_ncr:1_{928810B7-C43E-4633-B99C-A5C5228AF89E}" xr6:coauthVersionLast="47" xr6:coauthVersionMax="47" xr10:uidLastSave="{00000000-0000-0000-0000-000000000000}"/>
  <bookViews>
    <workbookView xWindow="2040" yWindow="2055" windowWidth="32310" windowHeight="18285" activeTab="2" xr2:uid="{00000000-000D-0000-FFFF-FFFF00000000}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3" l="1"/>
  <c r="K17" i="3"/>
  <c r="K16" i="3"/>
  <c r="K15" i="3"/>
  <c r="H18" i="3"/>
  <c r="H17" i="3"/>
  <c r="H16" i="3"/>
  <c r="H15" i="3"/>
  <c r="J6" i="3"/>
  <c r="K6" i="3"/>
  <c r="L6" i="3"/>
  <c r="I6" i="3"/>
  <c r="J4" i="3"/>
  <c r="J3" i="3"/>
  <c r="B250" i="3"/>
  <c r="D250" i="3"/>
  <c r="E250" i="3"/>
  <c r="BK250" i="2"/>
  <c r="BJ250" i="2"/>
  <c r="BA250" i="2"/>
  <c r="AZ250" i="2"/>
  <c r="AY250" i="2"/>
  <c r="C250" i="3" s="1"/>
  <c r="AX250" i="2"/>
  <c r="AH250" i="2"/>
  <c r="AG250" i="2"/>
  <c r="AF250" i="2"/>
  <c r="AE250" i="2"/>
  <c r="AD250" i="2"/>
  <c r="AW250" i="2" s="1"/>
  <c r="A250" i="3" s="1"/>
  <c r="S250" i="2"/>
  <c r="R250" i="2"/>
  <c r="AR128" i="2"/>
  <c r="AR127" i="2"/>
  <c r="AR126" i="2"/>
  <c r="AR125" i="2"/>
  <c r="AR119" i="2"/>
  <c r="AR118" i="2"/>
  <c r="AR117" i="2"/>
  <c r="AR116" i="2"/>
  <c r="AR115" i="2"/>
  <c r="AR114" i="2"/>
  <c r="AL111" i="2"/>
  <c r="AK111" i="2"/>
  <c r="AT119" i="2" s="1"/>
  <c r="AL110" i="2"/>
  <c r="AK110" i="2"/>
  <c r="AT118" i="2" s="1"/>
  <c r="AL109" i="2"/>
  <c r="AK108" i="2"/>
  <c r="AL107" i="2"/>
  <c r="AL106" i="2"/>
  <c r="AR101" i="2"/>
  <c r="AR100" i="2"/>
  <c r="AR99" i="2"/>
  <c r="AR98" i="2"/>
  <c r="AR97" i="2"/>
  <c r="AR96" i="2"/>
  <c r="AR95" i="2"/>
  <c r="AR90" i="2"/>
  <c r="AR89" i="2"/>
  <c r="AR88" i="2"/>
  <c r="AR87" i="2"/>
  <c r="AR86" i="2"/>
  <c r="AR85" i="2"/>
  <c r="AR84" i="2"/>
  <c r="AR83" i="2"/>
  <c r="AR82" i="2"/>
  <c r="AR81" i="2"/>
  <c r="AL81" i="2"/>
  <c r="AK81" i="2"/>
  <c r="AT90" i="2" s="1"/>
  <c r="AL80" i="2"/>
  <c r="AK80" i="2"/>
  <c r="AT89" i="2" s="1"/>
  <c r="AL79" i="2"/>
  <c r="AK79" i="2"/>
  <c r="AT101" i="2" s="1"/>
  <c r="AL78" i="2"/>
  <c r="AK78" i="2"/>
  <c r="AS87" i="2" s="1"/>
  <c r="AL77" i="2"/>
  <c r="AK77" i="2"/>
  <c r="AL76" i="2"/>
  <c r="AK76" i="2"/>
  <c r="AT85" i="2" s="1"/>
  <c r="AL75" i="2"/>
  <c r="AK74" i="2"/>
  <c r="AL73" i="2"/>
  <c r="AL72" i="2"/>
  <c r="AR57" i="2"/>
  <c r="AR56" i="2"/>
  <c r="AR55" i="2"/>
  <c r="AR54" i="2"/>
  <c r="AR53" i="2"/>
  <c r="AR52" i="2"/>
  <c r="AR51" i="2"/>
  <c r="AR50" i="2"/>
  <c r="AR49" i="2"/>
  <c r="AL46" i="2"/>
  <c r="AK46" i="2"/>
  <c r="AN46" i="2" s="1"/>
  <c r="AR36" i="2"/>
  <c r="AO36" i="2"/>
  <c r="AN36" i="2"/>
  <c r="AM36" i="2"/>
  <c r="AL36" i="2"/>
  <c r="AK36" i="2"/>
  <c r="AJ36" i="2"/>
  <c r="AR35" i="2"/>
  <c r="AO35" i="2"/>
  <c r="AN35" i="2"/>
  <c r="AM35" i="2"/>
  <c r="AL35" i="2"/>
  <c r="AK35" i="2"/>
  <c r="AJ35" i="2"/>
  <c r="AR34" i="2"/>
  <c r="AO34" i="2"/>
  <c r="AN34" i="2"/>
  <c r="AM34" i="2"/>
  <c r="AL34" i="2"/>
  <c r="AK34" i="2"/>
  <c r="AJ34" i="2"/>
  <c r="AR33" i="2"/>
  <c r="AO33" i="2"/>
  <c r="AN33" i="2"/>
  <c r="AM33" i="2"/>
  <c r="AL33" i="2"/>
  <c r="AK33" i="2"/>
  <c r="AJ33" i="2"/>
  <c r="BH32" i="2"/>
  <c r="BG32" i="2"/>
  <c r="BF32" i="2"/>
  <c r="BE32" i="2"/>
  <c r="AR32" i="2"/>
  <c r="AO32" i="2"/>
  <c r="AN32" i="2"/>
  <c r="AM32" i="2"/>
  <c r="AL32" i="2"/>
  <c r="AK32" i="2"/>
  <c r="AJ32" i="2"/>
  <c r="BH31" i="2"/>
  <c r="BG31" i="2"/>
  <c r="BF31" i="2"/>
  <c r="BE31" i="2"/>
  <c r="AR31" i="2"/>
  <c r="AO31" i="2"/>
  <c r="AN31" i="2"/>
  <c r="AM31" i="2"/>
  <c r="AL31" i="2"/>
  <c r="AK31" i="2"/>
  <c r="AJ31" i="2"/>
  <c r="BH30" i="2"/>
  <c r="BG30" i="2"/>
  <c r="BF30" i="2"/>
  <c r="BE30" i="2"/>
  <c r="AR30" i="2"/>
  <c r="AO30" i="2"/>
  <c r="AN30" i="2"/>
  <c r="AM30" i="2"/>
  <c r="AL30" i="2"/>
  <c r="AK30" i="2"/>
  <c r="AJ30" i="2"/>
  <c r="AR29" i="2"/>
  <c r="AK29" i="2"/>
  <c r="AJ29" i="2"/>
  <c r="AR28" i="2"/>
  <c r="AK28" i="2"/>
  <c r="AJ28" i="2"/>
  <c r="AR27" i="2"/>
  <c r="AK27" i="2"/>
  <c r="AJ27" i="2"/>
  <c r="AJ26" i="2"/>
  <c r="BH25" i="2"/>
  <c r="BG25" i="2"/>
  <c r="BF25" i="2"/>
  <c r="BE25" i="2"/>
  <c r="AJ25" i="2"/>
  <c r="BH24" i="2"/>
  <c r="BG24" i="2"/>
  <c r="BF24" i="2"/>
  <c r="BE24" i="2"/>
  <c r="AJ24" i="2"/>
  <c r="BH23" i="2"/>
  <c r="BG23" i="2"/>
  <c r="BF23" i="2"/>
  <c r="BE23" i="2"/>
  <c r="AJ23" i="2"/>
  <c r="BH22" i="2"/>
  <c r="BG22" i="2"/>
  <c r="BF22" i="2"/>
  <c r="BE22" i="2"/>
  <c r="AR22" i="2"/>
  <c r="AJ22" i="2"/>
  <c r="BH21" i="2"/>
  <c r="BG21" i="2"/>
  <c r="BF21" i="2"/>
  <c r="BE21" i="2"/>
  <c r="AR21" i="2"/>
  <c r="P21" i="2"/>
  <c r="O21" i="2"/>
  <c r="BH20" i="2"/>
  <c r="BG20" i="2"/>
  <c r="BF20" i="2"/>
  <c r="BE20" i="2"/>
  <c r="AR20" i="2"/>
  <c r="P20" i="2"/>
  <c r="O20" i="2"/>
  <c r="BH19" i="2"/>
  <c r="BG19" i="2"/>
  <c r="BF19" i="2"/>
  <c r="BE19" i="2"/>
  <c r="AR19" i="2"/>
  <c r="P19" i="2"/>
  <c r="O19" i="2"/>
  <c r="AR18" i="2"/>
  <c r="P18" i="2"/>
  <c r="O18" i="2"/>
  <c r="AR17" i="2"/>
  <c r="P17" i="2"/>
  <c r="O17" i="2"/>
  <c r="BH16" i="2"/>
  <c r="BG16" i="2"/>
  <c r="BF16" i="2"/>
  <c r="BE16" i="2"/>
  <c r="AR16" i="2"/>
  <c r="P16" i="2"/>
  <c r="O16" i="2"/>
  <c r="BH15" i="2"/>
  <c r="BG15" i="2"/>
  <c r="BF15" i="2"/>
  <c r="BE15" i="2"/>
  <c r="AR15" i="2"/>
  <c r="P15" i="2"/>
  <c r="O15" i="2"/>
  <c r="BH14" i="2"/>
  <c r="BG14" i="2"/>
  <c r="BF14" i="2"/>
  <c r="BE14" i="2"/>
  <c r="AR14" i="2"/>
  <c r="P14" i="2"/>
  <c r="O14" i="2"/>
  <c r="AR13" i="2"/>
  <c r="AL13" i="2"/>
  <c r="AK13" i="2"/>
  <c r="AP13" i="2" s="1"/>
  <c r="P13" i="2"/>
  <c r="O13" i="2"/>
  <c r="P12" i="2"/>
  <c r="O12" i="2"/>
  <c r="P11" i="2"/>
  <c r="O11" i="2"/>
  <c r="AL10" i="2"/>
  <c r="AK10" i="2"/>
  <c r="P10" i="2"/>
  <c r="O10" i="2"/>
  <c r="BH9" i="2"/>
  <c r="BG9" i="2"/>
  <c r="BF9" i="2"/>
  <c r="BE9" i="2"/>
  <c r="P9" i="2"/>
  <c r="O9" i="2"/>
  <c r="BH8" i="2"/>
  <c r="BG8" i="2"/>
  <c r="BF8" i="2"/>
  <c r="BE8" i="2"/>
  <c r="P8" i="2"/>
  <c r="O8" i="2"/>
  <c r="BH7" i="2"/>
  <c r="BG7" i="2"/>
  <c r="BF7" i="2"/>
  <c r="BE7" i="2"/>
  <c r="P7" i="2"/>
  <c r="O7" i="2"/>
  <c r="BH6" i="2"/>
  <c r="BG6" i="2"/>
  <c r="BF6" i="2"/>
  <c r="BE6" i="2"/>
  <c r="BH5" i="2"/>
  <c r="BG5" i="2"/>
  <c r="BF5" i="2"/>
  <c r="BE5" i="2"/>
  <c r="BH4" i="2"/>
  <c r="BG4" i="2"/>
  <c r="BF4" i="2"/>
  <c r="BE4" i="2"/>
  <c r="BH3" i="2"/>
  <c r="BG3" i="2"/>
  <c r="BF3" i="2"/>
  <c r="BE3" i="2"/>
  <c r="AD1" i="2"/>
  <c r="Y1" i="2"/>
  <c r="X1" i="2"/>
  <c r="W1" i="2"/>
  <c r="V1" i="2"/>
  <c r="C2" i="2"/>
  <c r="AD2" i="2" s="1"/>
  <c r="AW2" i="2" s="1"/>
  <c r="A2" i="3" s="1"/>
  <c r="D2" i="2"/>
  <c r="BA2" i="2" s="1"/>
  <c r="E2" i="3" s="1"/>
  <c r="T1500" i="1"/>
  <c r="S1500" i="1"/>
  <c r="R1500" i="1"/>
  <c r="O1500" i="1"/>
  <c r="N1500" i="1"/>
  <c r="M1500" i="1"/>
  <c r="T1499" i="1"/>
  <c r="S1499" i="1"/>
  <c r="R1499" i="1"/>
  <c r="O1499" i="1"/>
  <c r="N1499" i="1"/>
  <c r="M1499" i="1"/>
  <c r="P1499" i="1" s="1"/>
  <c r="T1498" i="1"/>
  <c r="S1498" i="1"/>
  <c r="R1498" i="1"/>
  <c r="O1498" i="1"/>
  <c r="N1498" i="1"/>
  <c r="M1498" i="1"/>
  <c r="T1497" i="1"/>
  <c r="S1497" i="1"/>
  <c r="R1497" i="1"/>
  <c r="O1497" i="1"/>
  <c r="N1497" i="1"/>
  <c r="M1497" i="1"/>
  <c r="T1496" i="1"/>
  <c r="S1496" i="1"/>
  <c r="R1496" i="1"/>
  <c r="O1496" i="1"/>
  <c r="N1496" i="1"/>
  <c r="M1496" i="1"/>
  <c r="P1496" i="1" s="1"/>
  <c r="T1495" i="1"/>
  <c r="S1495" i="1"/>
  <c r="R1495" i="1"/>
  <c r="O1495" i="1"/>
  <c r="N1495" i="1"/>
  <c r="M1495" i="1"/>
  <c r="P1495" i="1" s="1"/>
  <c r="T1494" i="1"/>
  <c r="S1494" i="1"/>
  <c r="R1494" i="1"/>
  <c r="O1494" i="1"/>
  <c r="N1494" i="1"/>
  <c r="M1494" i="1"/>
  <c r="T1493" i="1"/>
  <c r="S1493" i="1"/>
  <c r="R1493" i="1"/>
  <c r="O1493" i="1"/>
  <c r="N1493" i="1"/>
  <c r="M1493" i="1"/>
  <c r="T1492" i="1"/>
  <c r="S1492" i="1"/>
  <c r="R1492" i="1"/>
  <c r="O1492" i="1"/>
  <c r="N1492" i="1"/>
  <c r="M1492" i="1"/>
  <c r="T1491" i="1"/>
  <c r="S1491" i="1"/>
  <c r="R1491" i="1"/>
  <c r="O1491" i="1"/>
  <c r="N1491" i="1"/>
  <c r="M1491" i="1"/>
  <c r="T1490" i="1"/>
  <c r="S1490" i="1"/>
  <c r="R1490" i="1"/>
  <c r="O1490" i="1"/>
  <c r="N1490" i="1"/>
  <c r="M1490" i="1"/>
  <c r="P1490" i="1" s="1"/>
  <c r="T1489" i="1"/>
  <c r="S1489" i="1"/>
  <c r="R1489" i="1"/>
  <c r="O1489" i="1"/>
  <c r="N1489" i="1"/>
  <c r="M1489" i="1"/>
  <c r="T1488" i="1"/>
  <c r="S1488" i="1"/>
  <c r="R1488" i="1"/>
  <c r="O1488" i="1"/>
  <c r="N1488" i="1"/>
  <c r="M1488" i="1"/>
  <c r="T1487" i="1"/>
  <c r="S1487" i="1"/>
  <c r="R1487" i="1"/>
  <c r="O1487" i="1"/>
  <c r="N1487" i="1"/>
  <c r="P1487" i="1" s="1"/>
  <c r="M1487" i="1"/>
  <c r="T1486" i="1"/>
  <c r="S1486" i="1"/>
  <c r="R1486" i="1"/>
  <c r="O1486" i="1"/>
  <c r="N1486" i="1"/>
  <c r="M1486" i="1"/>
  <c r="T1485" i="1"/>
  <c r="S1485" i="1"/>
  <c r="R1485" i="1"/>
  <c r="O1485" i="1"/>
  <c r="N1485" i="1"/>
  <c r="M1485" i="1"/>
  <c r="P1485" i="1" s="1"/>
  <c r="T1484" i="1"/>
  <c r="S1484" i="1"/>
  <c r="R1484" i="1"/>
  <c r="O1484" i="1"/>
  <c r="N1484" i="1"/>
  <c r="M1484" i="1"/>
  <c r="T1483" i="1"/>
  <c r="S1483" i="1"/>
  <c r="R1483" i="1"/>
  <c r="O1483" i="1"/>
  <c r="N1483" i="1"/>
  <c r="M1483" i="1"/>
  <c r="T1482" i="1"/>
  <c r="S1482" i="1"/>
  <c r="R1482" i="1"/>
  <c r="O1482" i="1"/>
  <c r="N1482" i="1"/>
  <c r="M1482" i="1"/>
  <c r="T1481" i="1"/>
  <c r="S1481" i="1"/>
  <c r="R1481" i="1"/>
  <c r="O1481" i="1"/>
  <c r="N1481" i="1"/>
  <c r="M1481" i="1"/>
  <c r="P1481" i="1" s="1"/>
  <c r="T1480" i="1"/>
  <c r="S1480" i="1"/>
  <c r="R1480" i="1"/>
  <c r="O1480" i="1"/>
  <c r="N1480" i="1"/>
  <c r="P1480" i="1" s="1"/>
  <c r="M1480" i="1"/>
  <c r="T1479" i="1"/>
  <c r="S1479" i="1"/>
  <c r="R1479" i="1"/>
  <c r="O1479" i="1"/>
  <c r="N1479" i="1"/>
  <c r="P1479" i="1" s="1"/>
  <c r="M1479" i="1"/>
  <c r="T1478" i="1"/>
  <c r="S1478" i="1"/>
  <c r="R1478" i="1"/>
  <c r="O1478" i="1"/>
  <c r="N1478" i="1"/>
  <c r="P1478" i="1" s="1"/>
  <c r="M1478" i="1"/>
  <c r="T1477" i="1"/>
  <c r="S1477" i="1"/>
  <c r="R1477" i="1"/>
  <c r="O1477" i="1"/>
  <c r="N1477" i="1"/>
  <c r="M1477" i="1"/>
  <c r="T1476" i="1"/>
  <c r="S1476" i="1"/>
  <c r="R1476" i="1"/>
  <c r="O1476" i="1"/>
  <c r="N1476" i="1"/>
  <c r="M1476" i="1"/>
  <c r="P1476" i="1" s="1"/>
  <c r="T1475" i="1"/>
  <c r="S1475" i="1"/>
  <c r="R1475" i="1"/>
  <c r="O1475" i="1"/>
  <c r="N1475" i="1"/>
  <c r="M1475" i="1"/>
  <c r="T1474" i="1"/>
  <c r="S1474" i="1"/>
  <c r="R1474" i="1"/>
  <c r="O1474" i="1"/>
  <c r="N1474" i="1"/>
  <c r="M1474" i="1"/>
  <c r="T1473" i="1"/>
  <c r="S1473" i="1"/>
  <c r="R1473" i="1"/>
  <c r="O1473" i="1"/>
  <c r="N1473" i="1"/>
  <c r="M1473" i="1"/>
  <c r="T1472" i="1"/>
  <c r="S1472" i="1"/>
  <c r="R1472" i="1"/>
  <c r="O1472" i="1"/>
  <c r="N1472" i="1"/>
  <c r="M1472" i="1"/>
  <c r="P1472" i="1" s="1"/>
  <c r="T1471" i="1"/>
  <c r="S1471" i="1"/>
  <c r="R1471" i="1"/>
  <c r="P1471" i="1"/>
  <c r="O1471" i="1"/>
  <c r="N1471" i="1"/>
  <c r="M1471" i="1"/>
  <c r="T1470" i="1"/>
  <c r="S1470" i="1"/>
  <c r="R1470" i="1"/>
  <c r="O1470" i="1"/>
  <c r="N1470" i="1"/>
  <c r="M1470" i="1"/>
  <c r="T1469" i="1"/>
  <c r="S1469" i="1"/>
  <c r="R1469" i="1"/>
  <c r="O1469" i="1"/>
  <c r="N1469" i="1"/>
  <c r="M1469" i="1"/>
  <c r="T1468" i="1"/>
  <c r="S1468" i="1"/>
  <c r="R1468" i="1"/>
  <c r="O1468" i="1"/>
  <c r="N1468" i="1"/>
  <c r="M1468" i="1"/>
  <c r="T1467" i="1"/>
  <c r="S1467" i="1"/>
  <c r="R1467" i="1"/>
  <c r="O1467" i="1"/>
  <c r="N1467" i="1"/>
  <c r="M1467" i="1"/>
  <c r="P1467" i="1" s="1"/>
  <c r="T1466" i="1"/>
  <c r="S1466" i="1"/>
  <c r="R1466" i="1"/>
  <c r="O1466" i="1"/>
  <c r="N1466" i="1"/>
  <c r="M1466" i="1"/>
  <c r="T1465" i="1"/>
  <c r="S1465" i="1"/>
  <c r="R1465" i="1"/>
  <c r="O1465" i="1"/>
  <c r="N1465" i="1"/>
  <c r="M1465" i="1"/>
  <c r="T1464" i="1"/>
  <c r="S1464" i="1"/>
  <c r="R1464" i="1"/>
  <c r="O1464" i="1"/>
  <c r="N1464" i="1"/>
  <c r="P1464" i="1" s="1"/>
  <c r="M1464" i="1"/>
  <c r="T1463" i="1"/>
  <c r="S1463" i="1"/>
  <c r="R1463" i="1"/>
  <c r="O1463" i="1"/>
  <c r="N1463" i="1"/>
  <c r="M1463" i="1"/>
  <c r="P1463" i="1" s="1"/>
  <c r="T1462" i="1"/>
  <c r="S1462" i="1"/>
  <c r="R1462" i="1"/>
  <c r="O1462" i="1"/>
  <c r="N1462" i="1"/>
  <c r="M1462" i="1"/>
  <c r="T1461" i="1"/>
  <c r="S1461" i="1"/>
  <c r="R1461" i="1"/>
  <c r="O1461" i="1"/>
  <c r="N1461" i="1"/>
  <c r="M1461" i="1"/>
  <c r="T1460" i="1"/>
  <c r="S1460" i="1"/>
  <c r="R1460" i="1"/>
  <c r="O1460" i="1"/>
  <c r="N1460" i="1"/>
  <c r="M1460" i="1"/>
  <c r="P1460" i="1" s="1"/>
  <c r="T1459" i="1"/>
  <c r="S1459" i="1"/>
  <c r="R1459" i="1"/>
  <c r="O1459" i="1"/>
  <c r="N1459" i="1"/>
  <c r="P1459" i="1" s="1"/>
  <c r="M1459" i="1"/>
  <c r="T1458" i="1"/>
  <c r="S1458" i="1"/>
  <c r="R1458" i="1"/>
  <c r="O1458" i="1"/>
  <c r="N1458" i="1"/>
  <c r="M1458" i="1"/>
  <c r="T1457" i="1"/>
  <c r="S1457" i="1"/>
  <c r="R1457" i="1"/>
  <c r="O1457" i="1"/>
  <c r="N1457" i="1"/>
  <c r="M1457" i="1"/>
  <c r="T1456" i="1"/>
  <c r="S1456" i="1"/>
  <c r="R1456" i="1"/>
  <c r="O1456" i="1"/>
  <c r="P1456" i="1" s="1"/>
  <c r="N1456" i="1"/>
  <c r="M1456" i="1"/>
  <c r="T1455" i="1"/>
  <c r="S1455" i="1"/>
  <c r="R1455" i="1"/>
  <c r="O1455" i="1"/>
  <c r="N1455" i="1"/>
  <c r="P1455" i="1" s="1"/>
  <c r="M1455" i="1"/>
  <c r="T1454" i="1"/>
  <c r="S1454" i="1"/>
  <c r="R1454" i="1"/>
  <c r="O1454" i="1"/>
  <c r="N1454" i="1"/>
  <c r="M1454" i="1"/>
  <c r="T1453" i="1"/>
  <c r="S1453" i="1"/>
  <c r="R1453" i="1"/>
  <c r="O1453" i="1"/>
  <c r="N1453" i="1"/>
  <c r="M1453" i="1"/>
  <c r="T1452" i="1"/>
  <c r="S1452" i="1"/>
  <c r="R1452" i="1"/>
  <c r="O1452" i="1"/>
  <c r="N1452" i="1"/>
  <c r="M1452" i="1"/>
  <c r="P1452" i="1" s="1"/>
  <c r="T1451" i="1"/>
  <c r="S1451" i="1"/>
  <c r="R1451" i="1"/>
  <c r="O1451" i="1"/>
  <c r="P1451" i="1" s="1"/>
  <c r="N1451" i="1"/>
  <c r="M1451" i="1"/>
  <c r="T1450" i="1"/>
  <c r="S1450" i="1"/>
  <c r="R1450" i="1"/>
  <c r="O1450" i="1"/>
  <c r="N1450" i="1"/>
  <c r="M1450" i="1"/>
  <c r="P1450" i="1" s="1"/>
  <c r="T1449" i="1"/>
  <c r="S1449" i="1"/>
  <c r="R1449" i="1"/>
  <c r="O1449" i="1"/>
  <c r="N1449" i="1"/>
  <c r="M1449" i="1"/>
  <c r="T1448" i="1"/>
  <c r="S1448" i="1"/>
  <c r="R1448" i="1"/>
  <c r="O1448" i="1"/>
  <c r="N1448" i="1"/>
  <c r="M1448" i="1"/>
  <c r="P1448" i="1" s="1"/>
  <c r="T1447" i="1"/>
  <c r="S1447" i="1"/>
  <c r="R1447" i="1"/>
  <c r="O1447" i="1"/>
  <c r="N1447" i="1"/>
  <c r="M1447" i="1"/>
  <c r="T1446" i="1"/>
  <c r="S1446" i="1"/>
  <c r="R1446" i="1"/>
  <c r="O1446" i="1"/>
  <c r="N1446" i="1"/>
  <c r="M1446" i="1"/>
  <c r="T1445" i="1"/>
  <c r="S1445" i="1"/>
  <c r="R1445" i="1"/>
  <c r="O1445" i="1"/>
  <c r="N1445" i="1"/>
  <c r="M1445" i="1"/>
  <c r="T1444" i="1"/>
  <c r="S1444" i="1"/>
  <c r="R1444" i="1"/>
  <c r="O1444" i="1"/>
  <c r="N1444" i="1"/>
  <c r="M1444" i="1"/>
  <c r="P1444" i="1" s="1"/>
  <c r="T1443" i="1"/>
  <c r="S1443" i="1"/>
  <c r="R1443" i="1"/>
  <c r="O1443" i="1"/>
  <c r="N1443" i="1"/>
  <c r="M1443" i="1"/>
  <c r="T1442" i="1"/>
  <c r="S1442" i="1"/>
  <c r="R1442" i="1"/>
  <c r="O1442" i="1"/>
  <c r="N1442" i="1"/>
  <c r="M1442" i="1"/>
  <c r="P1442" i="1" s="1"/>
  <c r="T1441" i="1"/>
  <c r="S1441" i="1"/>
  <c r="R1441" i="1"/>
  <c r="O1441" i="1"/>
  <c r="N1441" i="1"/>
  <c r="P1441" i="1" s="1"/>
  <c r="M1441" i="1"/>
  <c r="T1440" i="1"/>
  <c r="S1440" i="1"/>
  <c r="R1440" i="1"/>
  <c r="O1440" i="1"/>
  <c r="N1440" i="1"/>
  <c r="M1440" i="1"/>
  <c r="P1440" i="1" s="1"/>
  <c r="T1439" i="1"/>
  <c r="S1439" i="1"/>
  <c r="R1439" i="1"/>
  <c r="O1439" i="1"/>
  <c r="N1439" i="1"/>
  <c r="P1439" i="1" s="1"/>
  <c r="M1439" i="1"/>
  <c r="T1438" i="1"/>
  <c r="S1438" i="1"/>
  <c r="R1438" i="1"/>
  <c r="O1438" i="1"/>
  <c r="N1438" i="1"/>
  <c r="M1438" i="1"/>
  <c r="T1437" i="1"/>
  <c r="S1437" i="1"/>
  <c r="R1437" i="1"/>
  <c r="O1437" i="1"/>
  <c r="N1437" i="1"/>
  <c r="M1437" i="1"/>
  <c r="P1437" i="1" s="1"/>
  <c r="T1436" i="1"/>
  <c r="S1436" i="1"/>
  <c r="R1436" i="1"/>
  <c r="O1436" i="1"/>
  <c r="N1436" i="1"/>
  <c r="M1436" i="1"/>
  <c r="T1435" i="1"/>
  <c r="S1435" i="1"/>
  <c r="R1435" i="1"/>
  <c r="O1435" i="1"/>
  <c r="N1435" i="1"/>
  <c r="M1435" i="1"/>
  <c r="T1434" i="1"/>
  <c r="S1434" i="1"/>
  <c r="R1434" i="1"/>
  <c r="O1434" i="1"/>
  <c r="N1434" i="1"/>
  <c r="M1434" i="1"/>
  <c r="P1434" i="1" s="1"/>
  <c r="T1433" i="1"/>
  <c r="S1433" i="1"/>
  <c r="R1433" i="1"/>
  <c r="O1433" i="1"/>
  <c r="N1433" i="1"/>
  <c r="P1433" i="1" s="1"/>
  <c r="M1433" i="1"/>
  <c r="T1432" i="1"/>
  <c r="S1432" i="1"/>
  <c r="R1432" i="1"/>
  <c r="P1432" i="1"/>
  <c r="O1432" i="1"/>
  <c r="N1432" i="1"/>
  <c r="M1432" i="1"/>
  <c r="T1431" i="1"/>
  <c r="S1431" i="1"/>
  <c r="R1431" i="1"/>
  <c r="O1431" i="1"/>
  <c r="P1431" i="1" s="1"/>
  <c r="N1431" i="1"/>
  <c r="M1431" i="1"/>
  <c r="T1430" i="1"/>
  <c r="S1430" i="1"/>
  <c r="R1430" i="1"/>
  <c r="O1430" i="1"/>
  <c r="N1430" i="1"/>
  <c r="M1430" i="1"/>
  <c r="T1429" i="1"/>
  <c r="S1429" i="1"/>
  <c r="R1429" i="1"/>
  <c r="O1429" i="1"/>
  <c r="N1429" i="1"/>
  <c r="M1429" i="1"/>
  <c r="P1429" i="1" s="1"/>
  <c r="T1428" i="1"/>
  <c r="S1428" i="1"/>
  <c r="R1428" i="1"/>
  <c r="O1428" i="1"/>
  <c r="N1428" i="1"/>
  <c r="M1428" i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T1425" i="1"/>
  <c r="S1425" i="1"/>
  <c r="R1425" i="1"/>
  <c r="O1425" i="1"/>
  <c r="N1425" i="1"/>
  <c r="P1425" i="1" s="1"/>
  <c r="M1425" i="1"/>
  <c r="T1424" i="1"/>
  <c r="S1424" i="1"/>
  <c r="R1424" i="1"/>
  <c r="P1424" i="1"/>
  <c r="O1424" i="1"/>
  <c r="N1424" i="1"/>
  <c r="M1424" i="1"/>
  <c r="T1423" i="1"/>
  <c r="S1423" i="1"/>
  <c r="R1423" i="1"/>
  <c r="O1423" i="1"/>
  <c r="N1423" i="1"/>
  <c r="M1423" i="1"/>
  <c r="T1422" i="1"/>
  <c r="S1422" i="1"/>
  <c r="R1422" i="1"/>
  <c r="O1422" i="1"/>
  <c r="N1422" i="1"/>
  <c r="M1422" i="1"/>
  <c r="T1421" i="1"/>
  <c r="S1421" i="1"/>
  <c r="R1421" i="1"/>
  <c r="O1421" i="1"/>
  <c r="N1421" i="1"/>
  <c r="M1421" i="1"/>
  <c r="T1420" i="1"/>
  <c r="S1420" i="1"/>
  <c r="R1420" i="1"/>
  <c r="O1420" i="1"/>
  <c r="N1420" i="1"/>
  <c r="M1420" i="1"/>
  <c r="T1419" i="1"/>
  <c r="S1419" i="1"/>
  <c r="R1419" i="1"/>
  <c r="P1419" i="1"/>
  <c r="O1419" i="1"/>
  <c r="N1419" i="1"/>
  <c r="M1419" i="1"/>
  <c r="T1418" i="1"/>
  <c r="S1418" i="1"/>
  <c r="R1418" i="1"/>
  <c r="O1418" i="1"/>
  <c r="N1418" i="1"/>
  <c r="M1418" i="1"/>
  <c r="T1417" i="1"/>
  <c r="S1417" i="1"/>
  <c r="R1417" i="1"/>
  <c r="O1417" i="1"/>
  <c r="N1417" i="1"/>
  <c r="M1417" i="1"/>
  <c r="T1416" i="1"/>
  <c r="S1416" i="1"/>
  <c r="R1416" i="1"/>
  <c r="O1416" i="1"/>
  <c r="N1416" i="1"/>
  <c r="P1416" i="1" s="1"/>
  <c r="M1416" i="1"/>
  <c r="T1415" i="1"/>
  <c r="S1415" i="1"/>
  <c r="R1415" i="1"/>
  <c r="O1415" i="1"/>
  <c r="N1415" i="1"/>
  <c r="M1415" i="1"/>
  <c r="P1415" i="1" s="1"/>
  <c r="T1414" i="1"/>
  <c r="S1414" i="1"/>
  <c r="R1414" i="1"/>
  <c r="O1414" i="1"/>
  <c r="N1414" i="1"/>
  <c r="M1414" i="1"/>
  <c r="T1413" i="1"/>
  <c r="S1413" i="1"/>
  <c r="R1413" i="1"/>
  <c r="O1413" i="1"/>
  <c r="N1413" i="1"/>
  <c r="M1413" i="1"/>
  <c r="T1412" i="1"/>
  <c r="S1412" i="1"/>
  <c r="R1412" i="1"/>
  <c r="O1412" i="1"/>
  <c r="N1412" i="1"/>
  <c r="M1412" i="1"/>
  <c r="T1411" i="1"/>
  <c r="S1411" i="1"/>
  <c r="R1411" i="1"/>
  <c r="O1411" i="1"/>
  <c r="N1411" i="1"/>
  <c r="P1411" i="1" s="1"/>
  <c r="M1411" i="1"/>
  <c r="T1410" i="1"/>
  <c r="S1410" i="1"/>
  <c r="R1410" i="1"/>
  <c r="O1410" i="1"/>
  <c r="N1410" i="1"/>
  <c r="M1410" i="1"/>
  <c r="T1409" i="1"/>
  <c r="S1409" i="1"/>
  <c r="R1409" i="1"/>
  <c r="O1409" i="1"/>
  <c r="N1409" i="1"/>
  <c r="M1409" i="1"/>
  <c r="T1408" i="1"/>
  <c r="S1408" i="1"/>
  <c r="R1408" i="1"/>
  <c r="O1408" i="1"/>
  <c r="N1408" i="1"/>
  <c r="M1408" i="1"/>
  <c r="T1407" i="1"/>
  <c r="S1407" i="1"/>
  <c r="R1407" i="1"/>
  <c r="O1407" i="1"/>
  <c r="N1407" i="1"/>
  <c r="M1407" i="1"/>
  <c r="P1407" i="1" s="1"/>
  <c r="T1406" i="1"/>
  <c r="S1406" i="1"/>
  <c r="R1406" i="1"/>
  <c r="O1406" i="1"/>
  <c r="N1406" i="1"/>
  <c r="M1406" i="1"/>
  <c r="T1405" i="1"/>
  <c r="S1405" i="1"/>
  <c r="R1405" i="1"/>
  <c r="O1405" i="1"/>
  <c r="N1405" i="1"/>
  <c r="M1405" i="1"/>
  <c r="T1404" i="1"/>
  <c r="S1404" i="1"/>
  <c r="R1404" i="1"/>
  <c r="O1404" i="1"/>
  <c r="N1404" i="1"/>
  <c r="M1404" i="1"/>
  <c r="T1403" i="1"/>
  <c r="S1403" i="1"/>
  <c r="R1403" i="1"/>
  <c r="O1403" i="1"/>
  <c r="N1403" i="1"/>
  <c r="M1403" i="1"/>
  <c r="T1402" i="1"/>
  <c r="S1402" i="1"/>
  <c r="R1402" i="1"/>
  <c r="O1402" i="1"/>
  <c r="P1402" i="1" s="1"/>
  <c r="N1402" i="1"/>
  <c r="M1402" i="1"/>
  <c r="T1401" i="1"/>
  <c r="S1401" i="1"/>
  <c r="R1401" i="1"/>
  <c r="O1401" i="1"/>
  <c r="N1401" i="1"/>
  <c r="M1401" i="1"/>
  <c r="T1400" i="1"/>
  <c r="S1400" i="1"/>
  <c r="R1400" i="1"/>
  <c r="O1400" i="1"/>
  <c r="N1400" i="1"/>
  <c r="P1400" i="1" s="1"/>
  <c r="M1400" i="1"/>
  <c r="T1399" i="1"/>
  <c r="S1399" i="1"/>
  <c r="R1399" i="1"/>
  <c r="O1399" i="1"/>
  <c r="P1399" i="1" s="1"/>
  <c r="N1399" i="1"/>
  <c r="M1399" i="1"/>
  <c r="T1398" i="1"/>
  <c r="S1398" i="1"/>
  <c r="R1398" i="1"/>
  <c r="O1398" i="1"/>
  <c r="N1398" i="1"/>
  <c r="M1398" i="1"/>
  <c r="T1397" i="1"/>
  <c r="S1397" i="1"/>
  <c r="R1397" i="1"/>
  <c r="O1397" i="1"/>
  <c r="N1397" i="1"/>
  <c r="M1397" i="1"/>
  <c r="T1396" i="1"/>
  <c r="S1396" i="1"/>
  <c r="R1396" i="1"/>
  <c r="O1396" i="1"/>
  <c r="N1396" i="1"/>
  <c r="M1396" i="1"/>
  <c r="P1396" i="1" s="1"/>
  <c r="T1395" i="1"/>
  <c r="S1395" i="1"/>
  <c r="R1395" i="1"/>
  <c r="P1395" i="1"/>
  <c r="O1395" i="1"/>
  <c r="N1395" i="1"/>
  <c r="M1395" i="1"/>
  <c r="T1394" i="1"/>
  <c r="S1394" i="1"/>
  <c r="R1394" i="1"/>
  <c r="O1394" i="1"/>
  <c r="N1394" i="1"/>
  <c r="M1394" i="1"/>
  <c r="T1393" i="1"/>
  <c r="S1393" i="1"/>
  <c r="R1393" i="1"/>
  <c r="O1393" i="1"/>
  <c r="N1393" i="1"/>
  <c r="M1393" i="1"/>
  <c r="T1392" i="1"/>
  <c r="S1392" i="1"/>
  <c r="R1392" i="1"/>
  <c r="O1392" i="1"/>
  <c r="P1392" i="1" s="1"/>
  <c r="N1392" i="1"/>
  <c r="M1392" i="1"/>
  <c r="T1391" i="1"/>
  <c r="S1391" i="1"/>
  <c r="R1391" i="1"/>
  <c r="O1391" i="1"/>
  <c r="N1391" i="1"/>
  <c r="P1391" i="1" s="1"/>
  <c r="M1391" i="1"/>
  <c r="T1390" i="1"/>
  <c r="S1390" i="1"/>
  <c r="R1390" i="1"/>
  <c r="O1390" i="1"/>
  <c r="N1390" i="1"/>
  <c r="P1390" i="1" s="1"/>
  <c r="M1390" i="1"/>
  <c r="T1389" i="1"/>
  <c r="S1389" i="1"/>
  <c r="R1389" i="1"/>
  <c r="O1389" i="1"/>
  <c r="N1389" i="1"/>
  <c r="M1389" i="1"/>
  <c r="T1388" i="1"/>
  <c r="S1388" i="1"/>
  <c r="R1388" i="1"/>
  <c r="O1388" i="1"/>
  <c r="N1388" i="1"/>
  <c r="M1388" i="1"/>
  <c r="P1388" i="1" s="1"/>
  <c r="T1387" i="1"/>
  <c r="S1387" i="1"/>
  <c r="R1387" i="1"/>
  <c r="O1387" i="1"/>
  <c r="P1387" i="1" s="1"/>
  <c r="N1387" i="1"/>
  <c r="M1387" i="1"/>
  <c r="T1386" i="1"/>
  <c r="S1386" i="1"/>
  <c r="R1386" i="1"/>
  <c r="O1386" i="1"/>
  <c r="P1386" i="1" s="1"/>
  <c r="N1386" i="1"/>
  <c r="M1386" i="1"/>
  <c r="T1385" i="1"/>
  <c r="S1385" i="1"/>
  <c r="R1385" i="1"/>
  <c r="O1385" i="1"/>
  <c r="N1385" i="1"/>
  <c r="M1385" i="1"/>
  <c r="T1384" i="1"/>
  <c r="S1384" i="1"/>
  <c r="R1384" i="1"/>
  <c r="O1384" i="1"/>
  <c r="N1384" i="1"/>
  <c r="M1384" i="1"/>
  <c r="T1383" i="1"/>
  <c r="S1383" i="1"/>
  <c r="R1383" i="1"/>
  <c r="O1383" i="1"/>
  <c r="N1383" i="1"/>
  <c r="M1383" i="1"/>
  <c r="P1383" i="1" s="1"/>
  <c r="T1382" i="1"/>
  <c r="S1382" i="1"/>
  <c r="R1382" i="1"/>
  <c r="O1382" i="1"/>
  <c r="N1382" i="1"/>
  <c r="M1382" i="1"/>
  <c r="T1381" i="1"/>
  <c r="S1381" i="1"/>
  <c r="R1381" i="1"/>
  <c r="O1381" i="1"/>
  <c r="N1381" i="1"/>
  <c r="M1381" i="1"/>
  <c r="T1380" i="1"/>
  <c r="S1380" i="1"/>
  <c r="R1380" i="1"/>
  <c r="O1380" i="1"/>
  <c r="N1380" i="1"/>
  <c r="M1380" i="1"/>
  <c r="T1379" i="1"/>
  <c r="S1379" i="1"/>
  <c r="R1379" i="1"/>
  <c r="O1379" i="1"/>
  <c r="N1379" i="1"/>
  <c r="M1379" i="1"/>
  <c r="P1379" i="1" s="1"/>
  <c r="T1378" i="1"/>
  <c r="S1378" i="1"/>
  <c r="R1378" i="1"/>
  <c r="O1378" i="1"/>
  <c r="N1378" i="1"/>
  <c r="M1378" i="1"/>
  <c r="T1377" i="1"/>
  <c r="S1377" i="1"/>
  <c r="R1377" i="1"/>
  <c r="O1377" i="1"/>
  <c r="N1377" i="1"/>
  <c r="P1377" i="1" s="1"/>
  <c r="M1377" i="1"/>
  <c r="T1376" i="1"/>
  <c r="S1376" i="1"/>
  <c r="R1376" i="1"/>
  <c r="O1376" i="1"/>
  <c r="N1376" i="1"/>
  <c r="M1376" i="1"/>
  <c r="T1375" i="1"/>
  <c r="S1375" i="1"/>
  <c r="R1375" i="1"/>
  <c r="O1375" i="1"/>
  <c r="N1375" i="1"/>
  <c r="P1375" i="1" s="1"/>
  <c r="M1375" i="1"/>
  <c r="T1374" i="1"/>
  <c r="S1374" i="1"/>
  <c r="R1374" i="1"/>
  <c r="O1374" i="1"/>
  <c r="N1374" i="1"/>
  <c r="M1374" i="1"/>
  <c r="T1373" i="1"/>
  <c r="S1373" i="1"/>
  <c r="R1373" i="1"/>
  <c r="O1373" i="1"/>
  <c r="N1373" i="1"/>
  <c r="M1373" i="1"/>
  <c r="P1373" i="1" s="1"/>
  <c r="T1372" i="1"/>
  <c r="S1372" i="1"/>
  <c r="R1372" i="1"/>
  <c r="O1372" i="1"/>
  <c r="N1372" i="1"/>
  <c r="M1372" i="1"/>
  <c r="T1371" i="1"/>
  <c r="S1371" i="1"/>
  <c r="R1371" i="1"/>
  <c r="O1371" i="1"/>
  <c r="N1371" i="1"/>
  <c r="M1371" i="1"/>
  <c r="T1370" i="1"/>
  <c r="S1370" i="1"/>
  <c r="R1370" i="1"/>
  <c r="O1370" i="1"/>
  <c r="N1370" i="1"/>
  <c r="M1370" i="1"/>
  <c r="T1369" i="1"/>
  <c r="S1369" i="1"/>
  <c r="R1369" i="1"/>
  <c r="O1369" i="1"/>
  <c r="N1369" i="1"/>
  <c r="P1369" i="1" s="1"/>
  <c r="M1369" i="1"/>
  <c r="T1368" i="1"/>
  <c r="S1368" i="1"/>
  <c r="R1368" i="1"/>
  <c r="O1368" i="1"/>
  <c r="N1368" i="1"/>
  <c r="M1368" i="1"/>
  <c r="P1368" i="1" s="1"/>
  <c r="T1367" i="1"/>
  <c r="S1367" i="1"/>
  <c r="R1367" i="1"/>
  <c r="O1367" i="1"/>
  <c r="P1367" i="1" s="1"/>
  <c r="N1367" i="1"/>
  <c r="M1367" i="1"/>
  <c r="T1366" i="1"/>
  <c r="S1366" i="1"/>
  <c r="R1366" i="1"/>
  <c r="O1366" i="1"/>
  <c r="N1366" i="1"/>
  <c r="M1366" i="1"/>
  <c r="T1365" i="1"/>
  <c r="S1365" i="1"/>
  <c r="R1365" i="1"/>
  <c r="O1365" i="1"/>
  <c r="N1365" i="1"/>
  <c r="M1365" i="1"/>
  <c r="T1364" i="1"/>
  <c r="S1364" i="1"/>
  <c r="R1364" i="1"/>
  <c r="O1364" i="1"/>
  <c r="N1364" i="1"/>
  <c r="M1364" i="1"/>
  <c r="P1364" i="1" s="1"/>
  <c r="T1363" i="1"/>
  <c r="S1363" i="1"/>
  <c r="R1363" i="1"/>
  <c r="P1363" i="1"/>
  <c r="O1363" i="1"/>
  <c r="N1363" i="1"/>
  <c r="M1363" i="1"/>
  <c r="T1362" i="1"/>
  <c r="S1362" i="1"/>
  <c r="R1362" i="1"/>
  <c r="O1362" i="1"/>
  <c r="N1362" i="1"/>
  <c r="M1362" i="1"/>
  <c r="T1361" i="1"/>
  <c r="S1361" i="1"/>
  <c r="R1361" i="1"/>
  <c r="O1361" i="1"/>
  <c r="N1361" i="1"/>
  <c r="P1361" i="1" s="1"/>
  <c r="M1361" i="1"/>
  <c r="T1360" i="1"/>
  <c r="S1360" i="1"/>
  <c r="R1360" i="1"/>
  <c r="O1360" i="1"/>
  <c r="P1360" i="1" s="1"/>
  <c r="N1360" i="1"/>
  <c r="M1360" i="1"/>
  <c r="T1359" i="1"/>
  <c r="S1359" i="1"/>
  <c r="R1359" i="1"/>
  <c r="O1359" i="1"/>
  <c r="N1359" i="1"/>
  <c r="M1359" i="1"/>
  <c r="P1359" i="1" s="1"/>
  <c r="T1358" i="1"/>
  <c r="S1358" i="1"/>
  <c r="R1358" i="1"/>
  <c r="O1358" i="1"/>
  <c r="N1358" i="1"/>
  <c r="M1358" i="1"/>
  <c r="T1357" i="1"/>
  <c r="S1357" i="1"/>
  <c r="R1357" i="1"/>
  <c r="O1357" i="1"/>
  <c r="N1357" i="1"/>
  <c r="M1357" i="1"/>
  <c r="T1356" i="1"/>
  <c r="S1356" i="1"/>
  <c r="R1356" i="1"/>
  <c r="O1356" i="1"/>
  <c r="N1356" i="1"/>
  <c r="M1356" i="1"/>
  <c r="P1356" i="1" s="1"/>
  <c r="T1355" i="1"/>
  <c r="S1355" i="1"/>
  <c r="R1355" i="1"/>
  <c r="O1355" i="1"/>
  <c r="N1355" i="1"/>
  <c r="M1355" i="1"/>
  <c r="P1355" i="1" s="1"/>
  <c r="T1354" i="1"/>
  <c r="S1354" i="1"/>
  <c r="R1354" i="1"/>
  <c r="O1354" i="1"/>
  <c r="N1354" i="1"/>
  <c r="M1354" i="1"/>
  <c r="T1353" i="1"/>
  <c r="S1353" i="1"/>
  <c r="R1353" i="1"/>
  <c r="O1353" i="1"/>
  <c r="N1353" i="1"/>
  <c r="M1353" i="1"/>
  <c r="T1352" i="1"/>
  <c r="S1352" i="1"/>
  <c r="R1352" i="1"/>
  <c r="O1352" i="1"/>
  <c r="N1352" i="1"/>
  <c r="M1352" i="1"/>
  <c r="P1352" i="1" s="1"/>
  <c r="T1351" i="1"/>
  <c r="S1351" i="1"/>
  <c r="R1351" i="1"/>
  <c r="O1351" i="1"/>
  <c r="N1351" i="1"/>
  <c r="M1351" i="1"/>
  <c r="T1350" i="1"/>
  <c r="S1350" i="1"/>
  <c r="R1350" i="1"/>
  <c r="O1350" i="1"/>
  <c r="N1350" i="1"/>
  <c r="M1350" i="1"/>
  <c r="T1349" i="1"/>
  <c r="S1349" i="1"/>
  <c r="R1349" i="1"/>
  <c r="O1349" i="1"/>
  <c r="N1349" i="1"/>
  <c r="M1349" i="1"/>
  <c r="T1348" i="1"/>
  <c r="S1348" i="1"/>
  <c r="R1348" i="1"/>
  <c r="O1348" i="1"/>
  <c r="N1348" i="1"/>
  <c r="M1348" i="1"/>
  <c r="T1347" i="1"/>
  <c r="S1347" i="1"/>
  <c r="R1347" i="1"/>
  <c r="O1347" i="1"/>
  <c r="N1347" i="1"/>
  <c r="M1347" i="1"/>
  <c r="P1347" i="1" s="1"/>
  <c r="T1346" i="1"/>
  <c r="S1346" i="1"/>
  <c r="R1346" i="1"/>
  <c r="O1346" i="1"/>
  <c r="N1346" i="1"/>
  <c r="M1346" i="1"/>
  <c r="T1345" i="1"/>
  <c r="S1345" i="1"/>
  <c r="R1345" i="1"/>
  <c r="O1345" i="1"/>
  <c r="N1345" i="1"/>
  <c r="M1345" i="1"/>
  <c r="T1344" i="1"/>
  <c r="S1344" i="1"/>
  <c r="R1344" i="1"/>
  <c r="P1344" i="1"/>
  <c r="O1344" i="1"/>
  <c r="N1344" i="1"/>
  <c r="M1344" i="1"/>
  <c r="T1343" i="1"/>
  <c r="S1343" i="1"/>
  <c r="R1343" i="1"/>
  <c r="O1343" i="1"/>
  <c r="P1343" i="1" s="1"/>
  <c r="N1343" i="1"/>
  <c r="M1343" i="1"/>
  <c r="T1342" i="1"/>
  <c r="S1342" i="1"/>
  <c r="R1342" i="1"/>
  <c r="O1342" i="1"/>
  <c r="N1342" i="1"/>
  <c r="M1342" i="1"/>
  <c r="T1341" i="1"/>
  <c r="S1341" i="1"/>
  <c r="R1341" i="1"/>
  <c r="O1341" i="1"/>
  <c r="N1341" i="1"/>
  <c r="M1341" i="1"/>
  <c r="T1340" i="1"/>
  <c r="S1340" i="1"/>
  <c r="R1340" i="1"/>
  <c r="O1340" i="1"/>
  <c r="N1340" i="1"/>
  <c r="M1340" i="1"/>
  <c r="P1340" i="1" s="1"/>
  <c r="T1339" i="1"/>
  <c r="S1339" i="1"/>
  <c r="R1339" i="1"/>
  <c r="P1339" i="1"/>
  <c r="O1339" i="1"/>
  <c r="N1339" i="1"/>
  <c r="M1339" i="1"/>
  <c r="T1338" i="1"/>
  <c r="S1338" i="1"/>
  <c r="R1338" i="1"/>
  <c r="O1338" i="1"/>
  <c r="N1338" i="1"/>
  <c r="M1338" i="1"/>
  <c r="T1337" i="1"/>
  <c r="S1337" i="1"/>
  <c r="R1337" i="1"/>
  <c r="O1337" i="1"/>
  <c r="N1337" i="1"/>
  <c r="M1337" i="1"/>
  <c r="T1336" i="1"/>
  <c r="S1336" i="1"/>
  <c r="R1336" i="1"/>
  <c r="O1336" i="1"/>
  <c r="N1336" i="1"/>
  <c r="M1336" i="1"/>
  <c r="P1336" i="1" s="1"/>
  <c r="T1335" i="1"/>
  <c r="S1335" i="1"/>
  <c r="R1335" i="1"/>
  <c r="O1335" i="1"/>
  <c r="N1335" i="1"/>
  <c r="M1335" i="1"/>
  <c r="P1335" i="1" s="1"/>
  <c r="T1334" i="1"/>
  <c r="S1334" i="1"/>
  <c r="R1334" i="1"/>
  <c r="O1334" i="1"/>
  <c r="N1334" i="1"/>
  <c r="P1334" i="1" s="1"/>
  <c r="M1334" i="1"/>
  <c r="T1333" i="1"/>
  <c r="S1333" i="1"/>
  <c r="R1333" i="1"/>
  <c r="O1333" i="1"/>
  <c r="N1333" i="1"/>
  <c r="M1333" i="1"/>
  <c r="T1332" i="1"/>
  <c r="S1332" i="1"/>
  <c r="R1332" i="1"/>
  <c r="O1332" i="1"/>
  <c r="N1332" i="1"/>
  <c r="M1332" i="1"/>
  <c r="T1331" i="1"/>
  <c r="S1331" i="1"/>
  <c r="R1331" i="1"/>
  <c r="O1331" i="1"/>
  <c r="N1331" i="1"/>
  <c r="M1331" i="1"/>
  <c r="P1331" i="1" s="1"/>
  <c r="T1330" i="1"/>
  <c r="S1330" i="1"/>
  <c r="R1330" i="1"/>
  <c r="O1330" i="1"/>
  <c r="N1330" i="1"/>
  <c r="M1330" i="1"/>
  <c r="T1329" i="1"/>
  <c r="S1329" i="1"/>
  <c r="R1329" i="1"/>
  <c r="O1329" i="1"/>
  <c r="N1329" i="1"/>
  <c r="M1329" i="1"/>
  <c r="T1328" i="1"/>
  <c r="S1328" i="1"/>
  <c r="R1328" i="1"/>
  <c r="O1328" i="1"/>
  <c r="N1328" i="1"/>
  <c r="P1328" i="1" s="1"/>
  <c r="M1328" i="1"/>
  <c r="T1327" i="1"/>
  <c r="S1327" i="1"/>
  <c r="R1327" i="1"/>
  <c r="O1327" i="1"/>
  <c r="N1327" i="1"/>
  <c r="M1327" i="1"/>
  <c r="P1327" i="1" s="1"/>
  <c r="T1326" i="1"/>
  <c r="S1326" i="1"/>
  <c r="R1326" i="1"/>
  <c r="O1326" i="1"/>
  <c r="N1326" i="1"/>
  <c r="P1326" i="1" s="1"/>
  <c r="M1326" i="1"/>
  <c r="T1325" i="1"/>
  <c r="S1325" i="1"/>
  <c r="R1325" i="1"/>
  <c r="O1325" i="1"/>
  <c r="N1325" i="1"/>
  <c r="M1325" i="1"/>
  <c r="P1325" i="1" s="1"/>
  <c r="T1324" i="1"/>
  <c r="S1324" i="1"/>
  <c r="R1324" i="1"/>
  <c r="O1324" i="1"/>
  <c r="N1324" i="1"/>
  <c r="M1324" i="1"/>
  <c r="T1323" i="1"/>
  <c r="S1323" i="1"/>
  <c r="R1323" i="1"/>
  <c r="O1323" i="1"/>
  <c r="N1323" i="1"/>
  <c r="M1323" i="1"/>
  <c r="P1323" i="1" s="1"/>
  <c r="T1322" i="1"/>
  <c r="S1322" i="1"/>
  <c r="R1322" i="1"/>
  <c r="O1322" i="1"/>
  <c r="P1322" i="1" s="1"/>
  <c r="N1322" i="1"/>
  <c r="M1322" i="1"/>
  <c r="T1321" i="1"/>
  <c r="S1321" i="1"/>
  <c r="R1321" i="1"/>
  <c r="O1321" i="1"/>
  <c r="N1321" i="1"/>
  <c r="M1321" i="1"/>
  <c r="T1320" i="1"/>
  <c r="S1320" i="1"/>
  <c r="R1320" i="1"/>
  <c r="P1320" i="1"/>
  <c r="O1320" i="1"/>
  <c r="N1320" i="1"/>
  <c r="M1320" i="1"/>
  <c r="T1319" i="1"/>
  <c r="S1319" i="1"/>
  <c r="R1319" i="1"/>
  <c r="O1319" i="1"/>
  <c r="P1319" i="1" s="1"/>
  <c r="N1319" i="1"/>
  <c r="M1319" i="1"/>
  <c r="T1318" i="1"/>
  <c r="S1318" i="1"/>
  <c r="R1318" i="1"/>
  <c r="O1318" i="1"/>
  <c r="N1318" i="1"/>
  <c r="M1318" i="1"/>
  <c r="T1317" i="1"/>
  <c r="S1317" i="1"/>
  <c r="R1317" i="1"/>
  <c r="O1317" i="1"/>
  <c r="N1317" i="1"/>
  <c r="M1317" i="1"/>
  <c r="T1316" i="1"/>
  <c r="S1316" i="1"/>
  <c r="R1316" i="1"/>
  <c r="O1316" i="1"/>
  <c r="N1316" i="1"/>
  <c r="M1316" i="1"/>
  <c r="P1316" i="1" s="1"/>
  <c r="T1315" i="1"/>
  <c r="S1315" i="1"/>
  <c r="R1315" i="1"/>
  <c r="P1315" i="1"/>
  <c r="O1315" i="1"/>
  <c r="N1315" i="1"/>
  <c r="M1315" i="1"/>
  <c r="T1314" i="1"/>
  <c r="S1314" i="1"/>
  <c r="R1314" i="1"/>
  <c r="O1314" i="1"/>
  <c r="N1314" i="1"/>
  <c r="M1314" i="1"/>
  <c r="T1313" i="1"/>
  <c r="S1313" i="1"/>
  <c r="R1313" i="1"/>
  <c r="O1313" i="1"/>
  <c r="N1313" i="1"/>
  <c r="M1313" i="1"/>
  <c r="T1312" i="1"/>
  <c r="S1312" i="1"/>
  <c r="R1312" i="1"/>
  <c r="O1312" i="1"/>
  <c r="P1312" i="1" s="1"/>
  <c r="N1312" i="1"/>
  <c r="M1312" i="1"/>
  <c r="T1311" i="1"/>
  <c r="S1311" i="1"/>
  <c r="R1311" i="1"/>
  <c r="O1311" i="1"/>
  <c r="N1311" i="1"/>
  <c r="M1311" i="1"/>
  <c r="P1311" i="1" s="1"/>
  <c r="T1310" i="1"/>
  <c r="S1310" i="1"/>
  <c r="R1310" i="1"/>
  <c r="O1310" i="1"/>
  <c r="N1310" i="1"/>
  <c r="M1310" i="1"/>
  <c r="T1309" i="1"/>
  <c r="S1309" i="1"/>
  <c r="R1309" i="1"/>
  <c r="O1309" i="1"/>
  <c r="N1309" i="1"/>
  <c r="M1309" i="1"/>
  <c r="T1308" i="1"/>
  <c r="S1308" i="1"/>
  <c r="R1308" i="1"/>
  <c r="O1308" i="1"/>
  <c r="N1308" i="1"/>
  <c r="M1308" i="1"/>
  <c r="P1308" i="1" s="1"/>
  <c r="T1307" i="1"/>
  <c r="S1307" i="1"/>
  <c r="R1307" i="1"/>
  <c r="O1307" i="1"/>
  <c r="P1307" i="1" s="1"/>
  <c r="N1307" i="1"/>
  <c r="M1307" i="1"/>
  <c r="T1306" i="1"/>
  <c r="S1306" i="1"/>
  <c r="R1306" i="1"/>
  <c r="O1306" i="1"/>
  <c r="N1306" i="1"/>
  <c r="M1306" i="1"/>
  <c r="T1305" i="1"/>
  <c r="S1305" i="1"/>
  <c r="R1305" i="1"/>
  <c r="O1305" i="1"/>
  <c r="N1305" i="1"/>
  <c r="M1305" i="1"/>
  <c r="T1304" i="1"/>
  <c r="S1304" i="1"/>
  <c r="R1304" i="1"/>
  <c r="O1304" i="1"/>
  <c r="N1304" i="1"/>
  <c r="P1304" i="1" s="1"/>
  <c r="M1304" i="1"/>
  <c r="T1303" i="1"/>
  <c r="S1303" i="1"/>
  <c r="R1303" i="1"/>
  <c r="O1303" i="1"/>
  <c r="N1303" i="1"/>
  <c r="M1303" i="1"/>
  <c r="P1303" i="1" s="1"/>
  <c r="T1302" i="1"/>
  <c r="S1302" i="1"/>
  <c r="R1302" i="1"/>
  <c r="O1302" i="1"/>
  <c r="N1302" i="1"/>
  <c r="M1302" i="1"/>
  <c r="T1301" i="1"/>
  <c r="S1301" i="1"/>
  <c r="R1301" i="1"/>
  <c r="O1301" i="1"/>
  <c r="N1301" i="1"/>
  <c r="M1301" i="1"/>
  <c r="P1301" i="1" s="1"/>
  <c r="T1300" i="1"/>
  <c r="S1300" i="1"/>
  <c r="R1300" i="1"/>
  <c r="O1300" i="1"/>
  <c r="N1300" i="1"/>
  <c r="M1300" i="1"/>
  <c r="T1299" i="1"/>
  <c r="S1299" i="1"/>
  <c r="R1299" i="1"/>
  <c r="O1299" i="1"/>
  <c r="N1299" i="1"/>
  <c r="P1299" i="1" s="1"/>
  <c r="M1299" i="1"/>
  <c r="T1298" i="1"/>
  <c r="S1298" i="1"/>
  <c r="R1298" i="1"/>
  <c r="O1298" i="1"/>
  <c r="N1298" i="1"/>
  <c r="M1298" i="1"/>
  <c r="T1297" i="1"/>
  <c r="S1297" i="1"/>
  <c r="R1297" i="1"/>
  <c r="O1297" i="1"/>
  <c r="N1297" i="1"/>
  <c r="P1297" i="1" s="1"/>
  <c r="M1297" i="1"/>
  <c r="T1296" i="1"/>
  <c r="S1296" i="1"/>
  <c r="R1296" i="1"/>
  <c r="O1296" i="1"/>
  <c r="N1296" i="1"/>
  <c r="M1296" i="1"/>
  <c r="P1296" i="1" s="1"/>
  <c r="T1295" i="1"/>
  <c r="S1295" i="1"/>
  <c r="R1295" i="1"/>
  <c r="P1295" i="1"/>
  <c r="O1295" i="1"/>
  <c r="N1295" i="1"/>
  <c r="M1295" i="1"/>
  <c r="T1294" i="1"/>
  <c r="S1294" i="1"/>
  <c r="R1294" i="1"/>
  <c r="O1294" i="1"/>
  <c r="N1294" i="1"/>
  <c r="M1294" i="1"/>
  <c r="T1293" i="1"/>
  <c r="S1293" i="1"/>
  <c r="R1293" i="1"/>
  <c r="O1293" i="1"/>
  <c r="N1293" i="1"/>
  <c r="M1293" i="1"/>
  <c r="P1293" i="1" s="1"/>
  <c r="T1292" i="1"/>
  <c r="S1292" i="1"/>
  <c r="R1292" i="1"/>
  <c r="O1292" i="1"/>
  <c r="N1292" i="1"/>
  <c r="M1292" i="1"/>
  <c r="T1291" i="1"/>
  <c r="S1291" i="1"/>
  <c r="R1291" i="1"/>
  <c r="O1291" i="1"/>
  <c r="N1291" i="1"/>
  <c r="M1291" i="1"/>
  <c r="P1291" i="1" s="1"/>
  <c r="T1290" i="1"/>
  <c r="S1290" i="1"/>
  <c r="R1290" i="1"/>
  <c r="O1290" i="1"/>
  <c r="P1290" i="1" s="1"/>
  <c r="N1290" i="1"/>
  <c r="M1290" i="1"/>
  <c r="T1289" i="1"/>
  <c r="S1289" i="1"/>
  <c r="R1289" i="1"/>
  <c r="O1289" i="1"/>
  <c r="N1289" i="1"/>
  <c r="M1289" i="1"/>
  <c r="T1288" i="1"/>
  <c r="S1288" i="1"/>
  <c r="R1288" i="1"/>
  <c r="O1288" i="1"/>
  <c r="N1288" i="1"/>
  <c r="M1288" i="1"/>
  <c r="P1288" i="1" s="1"/>
  <c r="T1287" i="1"/>
  <c r="S1287" i="1"/>
  <c r="R1287" i="1"/>
  <c r="O1287" i="1"/>
  <c r="P1287" i="1" s="1"/>
  <c r="N1287" i="1"/>
  <c r="M1287" i="1"/>
  <c r="T1286" i="1"/>
  <c r="S1286" i="1"/>
  <c r="R1286" i="1"/>
  <c r="O1286" i="1"/>
  <c r="N1286" i="1"/>
  <c r="M1286" i="1"/>
  <c r="T1285" i="1"/>
  <c r="S1285" i="1"/>
  <c r="R1285" i="1"/>
  <c r="O1285" i="1"/>
  <c r="N1285" i="1"/>
  <c r="M1285" i="1"/>
  <c r="T1284" i="1"/>
  <c r="S1284" i="1"/>
  <c r="R1284" i="1"/>
  <c r="O1284" i="1"/>
  <c r="N1284" i="1"/>
  <c r="M1284" i="1"/>
  <c r="P1284" i="1" s="1"/>
  <c r="T1283" i="1"/>
  <c r="S1283" i="1"/>
  <c r="R1283" i="1"/>
  <c r="O1283" i="1"/>
  <c r="N1283" i="1"/>
  <c r="M1283" i="1"/>
  <c r="P1283" i="1" s="1"/>
  <c r="T1282" i="1"/>
  <c r="S1282" i="1"/>
  <c r="R1282" i="1"/>
  <c r="O1282" i="1"/>
  <c r="N1282" i="1"/>
  <c r="M1282" i="1"/>
  <c r="T1281" i="1"/>
  <c r="S1281" i="1"/>
  <c r="R1281" i="1"/>
  <c r="O1281" i="1"/>
  <c r="N1281" i="1"/>
  <c r="M1281" i="1"/>
  <c r="T1280" i="1"/>
  <c r="S1280" i="1"/>
  <c r="R1280" i="1"/>
  <c r="O1280" i="1"/>
  <c r="P1280" i="1" s="1"/>
  <c r="N1280" i="1"/>
  <c r="M1280" i="1"/>
  <c r="T1279" i="1"/>
  <c r="S1279" i="1"/>
  <c r="R1279" i="1"/>
  <c r="O1279" i="1"/>
  <c r="N1279" i="1"/>
  <c r="P1279" i="1" s="1"/>
  <c r="M1279" i="1"/>
  <c r="T1278" i="1"/>
  <c r="S1278" i="1"/>
  <c r="R1278" i="1"/>
  <c r="O1278" i="1"/>
  <c r="N1278" i="1"/>
  <c r="M1278" i="1"/>
  <c r="T1277" i="1"/>
  <c r="S1277" i="1"/>
  <c r="R1277" i="1"/>
  <c r="O1277" i="1"/>
  <c r="N1277" i="1"/>
  <c r="M1277" i="1"/>
  <c r="T1276" i="1"/>
  <c r="S1276" i="1"/>
  <c r="R1276" i="1"/>
  <c r="O1276" i="1"/>
  <c r="N1276" i="1"/>
  <c r="M1276" i="1"/>
  <c r="P1276" i="1" s="1"/>
  <c r="T1275" i="1"/>
  <c r="S1275" i="1"/>
  <c r="R1275" i="1"/>
  <c r="O1275" i="1"/>
  <c r="P1275" i="1" s="1"/>
  <c r="N1275" i="1"/>
  <c r="M1275" i="1"/>
  <c r="T1274" i="1"/>
  <c r="S1274" i="1"/>
  <c r="R1274" i="1"/>
  <c r="O1274" i="1"/>
  <c r="N1274" i="1"/>
  <c r="M1274" i="1"/>
  <c r="T1273" i="1"/>
  <c r="S1273" i="1"/>
  <c r="R1273" i="1"/>
  <c r="O1273" i="1"/>
  <c r="N1273" i="1"/>
  <c r="M1273" i="1"/>
  <c r="T1272" i="1"/>
  <c r="S1272" i="1"/>
  <c r="R1272" i="1"/>
  <c r="O1272" i="1"/>
  <c r="N1272" i="1"/>
  <c r="M1272" i="1"/>
  <c r="P1272" i="1" s="1"/>
  <c r="T1271" i="1"/>
  <c r="S1271" i="1"/>
  <c r="R1271" i="1"/>
  <c r="O1271" i="1"/>
  <c r="N1271" i="1"/>
  <c r="M1271" i="1"/>
  <c r="P1271" i="1" s="1"/>
  <c r="T1270" i="1"/>
  <c r="S1270" i="1"/>
  <c r="R1270" i="1"/>
  <c r="O1270" i="1"/>
  <c r="N1270" i="1"/>
  <c r="M1270" i="1"/>
  <c r="T1269" i="1"/>
  <c r="S1269" i="1"/>
  <c r="R1269" i="1"/>
  <c r="O1269" i="1"/>
  <c r="N1269" i="1"/>
  <c r="M1269" i="1"/>
  <c r="T1268" i="1"/>
  <c r="S1268" i="1"/>
  <c r="R1268" i="1"/>
  <c r="O1268" i="1"/>
  <c r="N1268" i="1"/>
  <c r="M1268" i="1"/>
  <c r="T1267" i="1"/>
  <c r="S1267" i="1"/>
  <c r="R1267" i="1"/>
  <c r="O1267" i="1"/>
  <c r="N1267" i="1"/>
  <c r="M1267" i="1"/>
  <c r="P1267" i="1" s="1"/>
  <c r="T1266" i="1"/>
  <c r="S1266" i="1"/>
  <c r="R1266" i="1"/>
  <c r="O1266" i="1"/>
  <c r="N1266" i="1"/>
  <c r="M1266" i="1"/>
  <c r="T1265" i="1"/>
  <c r="S1265" i="1"/>
  <c r="R1265" i="1"/>
  <c r="O1265" i="1"/>
  <c r="N1265" i="1"/>
  <c r="P1265" i="1" s="1"/>
  <c r="M1265" i="1"/>
  <c r="T1264" i="1"/>
  <c r="S1264" i="1"/>
  <c r="R1264" i="1"/>
  <c r="O1264" i="1"/>
  <c r="N1264" i="1"/>
  <c r="M1264" i="1"/>
  <c r="P1264" i="1" s="1"/>
  <c r="T1263" i="1"/>
  <c r="S1263" i="1"/>
  <c r="R1263" i="1"/>
  <c r="O1263" i="1"/>
  <c r="N1263" i="1"/>
  <c r="M1263" i="1"/>
  <c r="P1263" i="1" s="1"/>
  <c r="T1262" i="1"/>
  <c r="S1262" i="1"/>
  <c r="R1262" i="1"/>
  <c r="O1262" i="1"/>
  <c r="N1262" i="1"/>
  <c r="P1262" i="1" s="1"/>
  <c r="M1262" i="1"/>
  <c r="T1261" i="1"/>
  <c r="S1261" i="1"/>
  <c r="R1261" i="1"/>
  <c r="O1261" i="1"/>
  <c r="N1261" i="1"/>
  <c r="M1261" i="1"/>
  <c r="P1261" i="1" s="1"/>
  <c r="T1260" i="1"/>
  <c r="S1260" i="1"/>
  <c r="R1260" i="1"/>
  <c r="O1260" i="1"/>
  <c r="N1260" i="1"/>
  <c r="M1260" i="1"/>
  <c r="T1259" i="1"/>
  <c r="S1259" i="1"/>
  <c r="R1259" i="1"/>
  <c r="O1259" i="1"/>
  <c r="N1259" i="1"/>
  <c r="M1259" i="1"/>
  <c r="P1259" i="1" s="1"/>
  <c r="T1258" i="1"/>
  <c r="S1258" i="1"/>
  <c r="R1258" i="1"/>
  <c r="O1258" i="1"/>
  <c r="P1258" i="1" s="1"/>
  <c r="N1258" i="1"/>
  <c r="M1258" i="1"/>
  <c r="T1257" i="1"/>
  <c r="S1257" i="1"/>
  <c r="R1257" i="1"/>
  <c r="O1257" i="1"/>
  <c r="N1257" i="1"/>
  <c r="M1257" i="1"/>
  <c r="T1256" i="1"/>
  <c r="S1256" i="1"/>
  <c r="R1256" i="1"/>
  <c r="P1256" i="1"/>
  <c r="O1256" i="1"/>
  <c r="N1256" i="1"/>
  <c r="M1256" i="1"/>
  <c r="T1255" i="1"/>
  <c r="S1255" i="1"/>
  <c r="R1255" i="1"/>
  <c r="O1255" i="1"/>
  <c r="P1255" i="1" s="1"/>
  <c r="N1255" i="1"/>
  <c r="M1255" i="1"/>
  <c r="T1254" i="1"/>
  <c r="S1254" i="1"/>
  <c r="R1254" i="1"/>
  <c r="O1254" i="1"/>
  <c r="N1254" i="1"/>
  <c r="M1254" i="1"/>
  <c r="T1253" i="1"/>
  <c r="S1253" i="1"/>
  <c r="R1253" i="1"/>
  <c r="O1253" i="1"/>
  <c r="N1253" i="1"/>
  <c r="M1253" i="1"/>
  <c r="T1252" i="1"/>
  <c r="S1252" i="1"/>
  <c r="R1252" i="1"/>
  <c r="O1252" i="1"/>
  <c r="N1252" i="1"/>
  <c r="M1252" i="1"/>
  <c r="P1252" i="1" s="1"/>
  <c r="T1251" i="1"/>
  <c r="S1251" i="1"/>
  <c r="R1251" i="1"/>
  <c r="P1251" i="1"/>
  <c r="O1251" i="1"/>
  <c r="N1251" i="1"/>
  <c r="M1251" i="1"/>
  <c r="T1250" i="1"/>
  <c r="S1250" i="1"/>
  <c r="R1250" i="1"/>
  <c r="O1250" i="1"/>
  <c r="N1250" i="1"/>
  <c r="M1250" i="1"/>
  <c r="T1249" i="1"/>
  <c r="S1249" i="1"/>
  <c r="R1249" i="1"/>
  <c r="O1249" i="1"/>
  <c r="N1249" i="1"/>
  <c r="M1249" i="1"/>
  <c r="T1248" i="1"/>
  <c r="S1248" i="1"/>
  <c r="R1248" i="1"/>
  <c r="O1248" i="1"/>
  <c r="P1248" i="1" s="1"/>
  <c r="N1248" i="1"/>
  <c r="M1248" i="1"/>
  <c r="T1247" i="1"/>
  <c r="S1247" i="1"/>
  <c r="R1247" i="1"/>
  <c r="O1247" i="1"/>
  <c r="N1247" i="1"/>
  <c r="M1247" i="1"/>
  <c r="P1247" i="1" s="1"/>
  <c r="T1246" i="1"/>
  <c r="S1246" i="1"/>
  <c r="R1246" i="1"/>
  <c r="O1246" i="1"/>
  <c r="N1246" i="1"/>
  <c r="M1246" i="1"/>
  <c r="T1245" i="1"/>
  <c r="S1245" i="1"/>
  <c r="R1245" i="1"/>
  <c r="O1245" i="1"/>
  <c r="N1245" i="1"/>
  <c r="M1245" i="1"/>
  <c r="T1244" i="1"/>
  <c r="S1244" i="1"/>
  <c r="R1244" i="1"/>
  <c r="O1244" i="1"/>
  <c r="N1244" i="1"/>
  <c r="M1244" i="1"/>
  <c r="P1244" i="1" s="1"/>
  <c r="T1243" i="1"/>
  <c r="S1243" i="1"/>
  <c r="R1243" i="1"/>
  <c r="O1243" i="1"/>
  <c r="P1243" i="1" s="1"/>
  <c r="N1243" i="1"/>
  <c r="M1243" i="1"/>
  <c r="T1242" i="1"/>
  <c r="S1242" i="1"/>
  <c r="R1242" i="1"/>
  <c r="O1242" i="1"/>
  <c r="N1242" i="1"/>
  <c r="M1242" i="1"/>
  <c r="T1241" i="1"/>
  <c r="S1241" i="1"/>
  <c r="R1241" i="1"/>
  <c r="O1241" i="1"/>
  <c r="N1241" i="1"/>
  <c r="M1241" i="1"/>
  <c r="T1240" i="1"/>
  <c r="S1240" i="1"/>
  <c r="R1240" i="1"/>
  <c r="O1240" i="1"/>
  <c r="N1240" i="1"/>
  <c r="P1240" i="1" s="1"/>
  <c r="M1240" i="1"/>
  <c r="T1239" i="1"/>
  <c r="S1239" i="1"/>
  <c r="R1239" i="1"/>
  <c r="O1239" i="1"/>
  <c r="N1239" i="1"/>
  <c r="M1239" i="1"/>
  <c r="P1239" i="1" s="1"/>
  <c r="T1238" i="1"/>
  <c r="S1238" i="1"/>
  <c r="R1238" i="1"/>
  <c r="O1238" i="1"/>
  <c r="N1238" i="1"/>
  <c r="M1238" i="1"/>
  <c r="T1237" i="1"/>
  <c r="S1237" i="1"/>
  <c r="R1237" i="1"/>
  <c r="O1237" i="1"/>
  <c r="N1237" i="1"/>
  <c r="M1237" i="1"/>
  <c r="P1237" i="1" s="1"/>
  <c r="T1236" i="1"/>
  <c r="S1236" i="1"/>
  <c r="R1236" i="1"/>
  <c r="O1236" i="1"/>
  <c r="N1236" i="1"/>
  <c r="M1236" i="1"/>
  <c r="T1235" i="1"/>
  <c r="S1235" i="1"/>
  <c r="R1235" i="1"/>
  <c r="O1235" i="1"/>
  <c r="N1235" i="1"/>
  <c r="P1235" i="1" s="1"/>
  <c r="M1235" i="1"/>
  <c r="T1234" i="1"/>
  <c r="S1234" i="1"/>
  <c r="R1234" i="1"/>
  <c r="O1234" i="1"/>
  <c r="N1234" i="1"/>
  <c r="M1234" i="1"/>
  <c r="T1233" i="1"/>
  <c r="S1233" i="1"/>
  <c r="R1233" i="1"/>
  <c r="O1233" i="1"/>
  <c r="N1233" i="1"/>
  <c r="P1233" i="1" s="1"/>
  <c r="M1233" i="1"/>
  <c r="T1232" i="1"/>
  <c r="S1232" i="1"/>
  <c r="R1232" i="1"/>
  <c r="O1232" i="1"/>
  <c r="N1232" i="1"/>
  <c r="M1232" i="1"/>
  <c r="P1232" i="1" s="1"/>
  <c r="T1231" i="1"/>
  <c r="S1231" i="1"/>
  <c r="R1231" i="1"/>
  <c r="P1231" i="1"/>
  <c r="O1231" i="1"/>
  <c r="N1231" i="1"/>
  <c r="M1231" i="1"/>
  <c r="T1230" i="1"/>
  <c r="S1230" i="1"/>
  <c r="R1230" i="1"/>
  <c r="O1230" i="1"/>
  <c r="N1230" i="1"/>
  <c r="M1230" i="1"/>
  <c r="T1229" i="1"/>
  <c r="S1229" i="1"/>
  <c r="R1229" i="1"/>
  <c r="O1229" i="1"/>
  <c r="N1229" i="1"/>
  <c r="M1229" i="1"/>
  <c r="P1229" i="1" s="1"/>
  <c r="T1228" i="1"/>
  <c r="S1228" i="1"/>
  <c r="R1228" i="1"/>
  <c r="O1228" i="1"/>
  <c r="N1228" i="1"/>
  <c r="M1228" i="1"/>
  <c r="T1227" i="1"/>
  <c r="S1227" i="1"/>
  <c r="R1227" i="1"/>
  <c r="O1227" i="1"/>
  <c r="N1227" i="1"/>
  <c r="M1227" i="1"/>
  <c r="P1227" i="1" s="1"/>
  <c r="T1226" i="1"/>
  <c r="S1226" i="1"/>
  <c r="R1226" i="1"/>
  <c r="O1226" i="1"/>
  <c r="P1226" i="1" s="1"/>
  <c r="N1226" i="1"/>
  <c r="M1226" i="1"/>
  <c r="T1225" i="1"/>
  <c r="S1225" i="1"/>
  <c r="R1225" i="1"/>
  <c r="O1225" i="1"/>
  <c r="N1225" i="1"/>
  <c r="M1225" i="1"/>
  <c r="T1224" i="1"/>
  <c r="S1224" i="1"/>
  <c r="R1224" i="1"/>
  <c r="O1224" i="1"/>
  <c r="N1224" i="1"/>
  <c r="M1224" i="1"/>
  <c r="P1224" i="1" s="1"/>
  <c r="T1223" i="1"/>
  <c r="S1223" i="1"/>
  <c r="R1223" i="1"/>
  <c r="O1223" i="1"/>
  <c r="P1223" i="1" s="1"/>
  <c r="N1223" i="1"/>
  <c r="M1223" i="1"/>
  <c r="T1222" i="1"/>
  <c r="S1222" i="1"/>
  <c r="R1222" i="1"/>
  <c r="O1222" i="1"/>
  <c r="N1222" i="1"/>
  <c r="M1222" i="1"/>
  <c r="T1221" i="1"/>
  <c r="S1221" i="1"/>
  <c r="R1221" i="1"/>
  <c r="O1221" i="1"/>
  <c r="N1221" i="1"/>
  <c r="M1221" i="1"/>
  <c r="T1220" i="1"/>
  <c r="S1220" i="1"/>
  <c r="R1220" i="1"/>
  <c r="O1220" i="1"/>
  <c r="N1220" i="1"/>
  <c r="M1220" i="1"/>
  <c r="P1220" i="1" s="1"/>
  <c r="T1219" i="1"/>
  <c r="S1219" i="1"/>
  <c r="R1219" i="1"/>
  <c r="O1219" i="1"/>
  <c r="N1219" i="1"/>
  <c r="M1219" i="1"/>
  <c r="P1219" i="1" s="1"/>
  <c r="T1218" i="1"/>
  <c r="S1218" i="1"/>
  <c r="R1218" i="1"/>
  <c r="O1218" i="1"/>
  <c r="N1218" i="1"/>
  <c r="M1218" i="1"/>
  <c r="T1217" i="1"/>
  <c r="S1217" i="1"/>
  <c r="R1217" i="1"/>
  <c r="O1217" i="1"/>
  <c r="N1217" i="1"/>
  <c r="M1217" i="1"/>
  <c r="T1216" i="1"/>
  <c r="S1216" i="1"/>
  <c r="R1216" i="1"/>
  <c r="O1216" i="1"/>
  <c r="P1216" i="1" s="1"/>
  <c r="N1216" i="1"/>
  <c r="M1216" i="1"/>
  <c r="T1215" i="1"/>
  <c r="S1215" i="1"/>
  <c r="R1215" i="1"/>
  <c r="O1215" i="1"/>
  <c r="N1215" i="1"/>
  <c r="M1215" i="1"/>
  <c r="T1214" i="1"/>
  <c r="S1214" i="1"/>
  <c r="R1214" i="1"/>
  <c r="O1214" i="1"/>
  <c r="N1214" i="1"/>
  <c r="M1214" i="1"/>
  <c r="T1213" i="1"/>
  <c r="S1213" i="1"/>
  <c r="R1213" i="1"/>
  <c r="O1213" i="1"/>
  <c r="N1213" i="1"/>
  <c r="M1213" i="1"/>
  <c r="T1212" i="1"/>
  <c r="S1212" i="1"/>
  <c r="R1212" i="1"/>
  <c r="O1212" i="1"/>
  <c r="N1212" i="1"/>
  <c r="M1212" i="1"/>
  <c r="T1211" i="1"/>
  <c r="S1211" i="1"/>
  <c r="R1211" i="1"/>
  <c r="O1211" i="1"/>
  <c r="N1211" i="1"/>
  <c r="P1211" i="1" s="1"/>
  <c r="M1211" i="1"/>
  <c r="T1210" i="1"/>
  <c r="S1210" i="1"/>
  <c r="R1210" i="1"/>
  <c r="O1210" i="1"/>
  <c r="N1210" i="1"/>
  <c r="M1210" i="1"/>
  <c r="T1209" i="1"/>
  <c r="S1209" i="1"/>
  <c r="R1209" i="1"/>
  <c r="O1209" i="1"/>
  <c r="N1209" i="1"/>
  <c r="P1209" i="1" s="1"/>
  <c r="M1209" i="1"/>
  <c r="T1208" i="1"/>
  <c r="S1208" i="1"/>
  <c r="R1208" i="1"/>
  <c r="O1208" i="1"/>
  <c r="N1208" i="1"/>
  <c r="M1208" i="1"/>
  <c r="P1208" i="1" s="1"/>
  <c r="T1207" i="1"/>
  <c r="S1207" i="1"/>
  <c r="R1207" i="1"/>
  <c r="P1207" i="1"/>
  <c r="O1207" i="1"/>
  <c r="N1207" i="1"/>
  <c r="M1207" i="1"/>
  <c r="T1206" i="1"/>
  <c r="S1206" i="1"/>
  <c r="R1206" i="1"/>
  <c r="O1206" i="1"/>
  <c r="N1206" i="1"/>
  <c r="P1206" i="1" s="1"/>
  <c r="M1206" i="1"/>
  <c r="T1205" i="1"/>
  <c r="S1205" i="1"/>
  <c r="R1205" i="1"/>
  <c r="O1205" i="1"/>
  <c r="N1205" i="1"/>
  <c r="M1205" i="1"/>
  <c r="T1204" i="1"/>
  <c r="S1204" i="1"/>
  <c r="R1204" i="1"/>
  <c r="O1204" i="1"/>
  <c r="N1204" i="1"/>
  <c r="M1204" i="1"/>
  <c r="T1203" i="1"/>
  <c r="S1203" i="1"/>
  <c r="R1203" i="1"/>
  <c r="O1203" i="1"/>
  <c r="N1203" i="1"/>
  <c r="M1203" i="1"/>
  <c r="P1203" i="1" s="1"/>
  <c r="T1202" i="1"/>
  <c r="S1202" i="1"/>
  <c r="R1202" i="1"/>
  <c r="O1202" i="1"/>
  <c r="P1202" i="1" s="1"/>
  <c r="N1202" i="1"/>
  <c r="M1202" i="1"/>
  <c r="T1201" i="1"/>
  <c r="S1201" i="1"/>
  <c r="R1201" i="1"/>
  <c r="O1201" i="1"/>
  <c r="N1201" i="1"/>
  <c r="M1201" i="1"/>
  <c r="T1200" i="1"/>
  <c r="S1200" i="1"/>
  <c r="R1200" i="1"/>
  <c r="O1200" i="1"/>
  <c r="N1200" i="1"/>
  <c r="M1200" i="1"/>
  <c r="P1200" i="1" s="1"/>
  <c r="T1199" i="1"/>
  <c r="S1199" i="1"/>
  <c r="R1199" i="1"/>
  <c r="O1199" i="1"/>
  <c r="P1199" i="1" s="1"/>
  <c r="N1199" i="1"/>
  <c r="M1199" i="1"/>
  <c r="T1198" i="1"/>
  <c r="S1198" i="1"/>
  <c r="R1198" i="1"/>
  <c r="O1198" i="1"/>
  <c r="N1198" i="1"/>
  <c r="M1198" i="1"/>
  <c r="T1197" i="1"/>
  <c r="S1197" i="1"/>
  <c r="R1197" i="1"/>
  <c r="O1197" i="1"/>
  <c r="N1197" i="1"/>
  <c r="M1197" i="1"/>
  <c r="T1196" i="1"/>
  <c r="S1196" i="1"/>
  <c r="R1196" i="1"/>
  <c r="O1196" i="1"/>
  <c r="N1196" i="1"/>
  <c r="M1196" i="1"/>
  <c r="P1196" i="1" s="1"/>
  <c r="T1195" i="1"/>
  <c r="S1195" i="1"/>
  <c r="R1195" i="1"/>
  <c r="O1195" i="1"/>
  <c r="N1195" i="1"/>
  <c r="M1195" i="1"/>
  <c r="P1195" i="1" s="1"/>
  <c r="T1194" i="1"/>
  <c r="S1194" i="1"/>
  <c r="R1194" i="1"/>
  <c r="O1194" i="1"/>
  <c r="N1194" i="1"/>
  <c r="M1194" i="1"/>
  <c r="T1193" i="1"/>
  <c r="S1193" i="1"/>
  <c r="R1193" i="1"/>
  <c r="O1193" i="1"/>
  <c r="N1193" i="1"/>
  <c r="M1193" i="1"/>
  <c r="T1192" i="1"/>
  <c r="S1192" i="1"/>
  <c r="R1192" i="1"/>
  <c r="O1192" i="1"/>
  <c r="P1192" i="1" s="1"/>
  <c r="N1192" i="1"/>
  <c r="M1192" i="1"/>
  <c r="T1191" i="1"/>
  <c r="S1191" i="1"/>
  <c r="R1191" i="1"/>
  <c r="O1191" i="1"/>
  <c r="N1191" i="1"/>
  <c r="P1191" i="1" s="1"/>
  <c r="M1191" i="1"/>
  <c r="T1190" i="1"/>
  <c r="S1190" i="1"/>
  <c r="R1190" i="1"/>
  <c r="O1190" i="1"/>
  <c r="N1190" i="1"/>
  <c r="M1190" i="1"/>
  <c r="T1189" i="1"/>
  <c r="S1189" i="1"/>
  <c r="R1189" i="1"/>
  <c r="O1189" i="1"/>
  <c r="N1189" i="1"/>
  <c r="M1189" i="1"/>
  <c r="T1188" i="1"/>
  <c r="S1188" i="1"/>
  <c r="R1188" i="1"/>
  <c r="O1188" i="1"/>
  <c r="N1188" i="1"/>
  <c r="M1188" i="1"/>
  <c r="P1188" i="1" s="1"/>
  <c r="T1187" i="1"/>
  <c r="S1187" i="1"/>
  <c r="R1187" i="1"/>
  <c r="O1187" i="1"/>
  <c r="P1187" i="1" s="1"/>
  <c r="N1187" i="1"/>
  <c r="M1187" i="1"/>
  <c r="T1186" i="1"/>
  <c r="S1186" i="1"/>
  <c r="R1186" i="1"/>
  <c r="O1186" i="1"/>
  <c r="N1186" i="1"/>
  <c r="M1186" i="1"/>
  <c r="T1185" i="1"/>
  <c r="S1185" i="1"/>
  <c r="R1185" i="1"/>
  <c r="O1185" i="1"/>
  <c r="N1185" i="1"/>
  <c r="M1185" i="1"/>
  <c r="T1184" i="1"/>
  <c r="S1184" i="1"/>
  <c r="R1184" i="1"/>
  <c r="O1184" i="1"/>
  <c r="N1184" i="1"/>
  <c r="M1184" i="1"/>
  <c r="P1184" i="1" s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T1181" i="1"/>
  <c r="S1181" i="1"/>
  <c r="R1181" i="1"/>
  <c r="O1181" i="1"/>
  <c r="N1181" i="1"/>
  <c r="M1181" i="1"/>
  <c r="P1181" i="1" s="1"/>
  <c r="T1180" i="1"/>
  <c r="S1180" i="1"/>
  <c r="R1180" i="1"/>
  <c r="O1180" i="1"/>
  <c r="N1180" i="1"/>
  <c r="M1180" i="1"/>
  <c r="T1179" i="1"/>
  <c r="S1179" i="1"/>
  <c r="R1179" i="1"/>
  <c r="O1179" i="1"/>
  <c r="N1179" i="1"/>
  <c r="M1179" i="1"/>
  <c r="P1179" i="1" s="1"/>
  <c r="T1178" i="1"/>
  <c r="S1178" i="1"/>
  <c r="R1178" i="1"/>
  <c r="O1178" i="1"/>
  <c r="P1178" i="1" s="1"/>
  <c r="N1178" i="1"/>
  <c r="M1178" i="1"/>
  <c r="T1177" i="1"/>
  <c r="S1177" i="1"/>
  <c r="R1177" i="1"/>
  <c r="O1177" i="1"/>
  <c r="N1177" i="1"/>
  <c r="M1177" i="1"/>
  <c r="T1176" i="1"/>
  <c r="S1176" i="1"/>
  <c r="R1176" i="1"/>
  <c r="O1176" i="1"/>
  <c r="N1176" i="1"/>
  <c r="M1176" i="1"/>
  <c r="P1176" i="1" s="1"/>
  <c r="T1175" i="1"/>
  <c r="S1175" i="1"/>
  <c r="R1175" i="1"/>
  <c r="O1175" i="1"/>
  <c r="P1175" i="1" s="1"/>
  <c r="N1175" i="1"/>
  <c r="M1175" i="1"/>
  <c r="T1174" i="1"/>
  <c r="S1174" i="1"/>
  <c r="R1174" i="1"/>
  <c r="O1174" i="1"/>
  <c r="N1174" i="1"/>
  <c r="M1174" i="1"/>
  <c r="T1173" i="1"/>
  <c r="S1173" i="1"/>
  <c r="R1173" i="1"/>
  <c r="O1173" i="1"/>
  <c r="N1173" i="1"/>
  <c r="M1173" i="1"/>
  <c r="T1172" i="1"/>
  <c r="S1172" i="1"/>
  <c r="R1172" i="1"/>
  <c r="O1172" i="1"/>
  <c r="N1172" i="1"/>
  <c r="M1172" i="1"/>
  <c r="P1172" i="1" s="1"/>
  <c r="T1171" i="1"/>
  <c r="S1171" i="1"/>
  <c r="R1171" i="1"/>
  <c r="O1171" i="1"/>
  <c r="N1171" i="1"/>
  <c r="M1171" i="1"/>
  <c r="P1171" i="1" s="1"/>
  <c r="T1170" i="1"/>
  <c r="S1170" i="1"/>
  <c r="R1170" i="1"/>
  <c r="O1170" i="1"/>
  <c r="N1170" i="1"/>
  <c r="M1170" i="1"/>
  <c r="T1169" i="1"/>
  <c r="S1169" i="1"/>
  <c r="R1169" i="1"/>
  <c r="O1169" i="1"/>
  <c r="N1169" i="1"/>
  <c r="M1169" i="1"/>
  <c r="T1168" i="1"/>
  <c r="S1168" i="1"/>
  <c r="R1168" i="1"/>
  <c r="O1168" i="1"/>
  <c r="P1168" i="1" s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T1165" i="1"/>
  <c r="S1165" i="1"/>
  <c r="R1165" i="1"/>
  <c r="O1165" i="1"/>
  <c r="N1165" i="1"/>
  <c r="M1165" i="1"/>
  <c r="P1165" i="1" s="1"/>
  <c r="T1164" i="1"/>
  <c r="S1164" i="1"/>
  <c r="R1164" i="1"/>
  <c r="O1164" i="1"/>
  <c r="N1164" i="1"/>
  <c r="M1164" i="1"/>
  <c r="T1163" i="1"/>
  <c r="S1163" i="1"/>
  <c r="R1163" i="1"/>
  <c r="O1163" i="1"/>
  <c r="N1163" i="1"/>
  <c r="P1163" i="1" s="1"/>
  <c r="M1163" i="1"/>
  <c r="T1162" i="1"/>
  <c r="S1162" i="1"/>
  <c r="R1162" i="1"/>
  <c r="O1162" i="1"/>
  <c r="N1162" i="1"/>
  <c r="M1162" i="1"/>
  <c r="T1161" i="1"/>
  <c r="S1161" i="1"/>
  <c r="R1161" i="1"/>
  <c r="O1161" i="1"/>
  <c r="N1161" i="1"/>
  <c r="P1161" i="1" s="1"/>
  <c r="M1161" i="1"/>
  <c r="T1160" i="1"/>
  <c r="S1160" i="1"/>
  <c r="R1160" i="1"/>
  <c r="O1160" i="1"/>
  <c r="N1160" i="1"/>
  <c r="M1160" i="1"/>
  <c r="P1160" i="1" s="1"/>
  <c r="T1159" i="1"/>
  <c r="S1159" i="1"/>
  <c r="R1159" i="1"/>
  <c r="O1159" i="1"/>
  <c r="P1159" i="1" s="1"/>
  <c r="N1159" i="1"/>
  <c r="M1159" i="1"/>
  <c r="T1158" i="1"/>
  <c r="S1158" i="1"/>
  <c r="R1158" i="1"/>
  <c r="O1158" i="1"/>
  <c r="N1158" i="1"/>
  <c r="M1158" i="1"/>
  <c r="T1157" i="1"/>
  <c r="S1157" i="1"/>
  <c r="R1157" i="1"/>
  <c r="O1157" i="1"/>
  <c r="N1157" i="1"/>
  <c r="M1157" i="1"/>
  <c r="T1156" i="1"/>
  <c r="S1156" i="1"/>
  <c r="R1156" i="1"/>
  <c r="O1156" i="1"/>
  <c r="N1156" i="1"/>
  <c r="M1156" i="1"/>
  <c r="P1156" i="1" s="1"/>
  <c r="T1155" i="1"/>
  <c r="S1155" i="1"/>
  <c r="R1155" i="1"/>
  <c r="P1155" i="1"/>
  <c r="O1155" i="1"/>
  <c r="N1155" i="1"/>
  <c r="M1155" i="1"/>
  <c r="T1154" i="1"/>
  <c r="S1154" i="1"/>
  <c r="R1154" i="1"/>
  <c r="O1154" i="1"/>
  <c r="N1154" i="1"/>
  <c r="M1154" i="1"/>
  <c r="T1153" i="1"/>
  <c r="S1153" i="1"/>
  <c r="R1153" i="1"/>
  <c r="O1153" i="1"/>
  <c r="N1153" i="1"/>
  <c r="M1153" i="1"/>
  <c r="T1152" i="1"/>
  <c r="S1152" i="1"/>
  <c r="R1152" i="1"/>
  <c r="O1152" i="1"/>
  <c r="P1152" i="1" s="1"/>
  <c r="N1152" i="1"/>
  <c r="M1152" i="1"/>
  <c r="T1151" i="1"/>
  <c r="S1151" i="1"/>
  <c r="R1151" i="1"/>
  <c r="O1151" i="1"/>
  <c r="N1151" i="1"/>
  <c r="M1151" i="1"/>
  <c r="T1150" i="1"/>
  <c r="S1150" i="1"/>
  <c r="R1150" i="1"/>
  <c r="O1150" i="1"/>
  <c r="N1150" i="1"/>
  <c r="M1150" i="1"/>
  <c r="T1149" i="1"/>
  <c r="S1149" i="1"/>
  <c r="R1149" i="1"/>
  <c r="O1149" i="1"/>
  <c r="N1149" i="1"/>
  <c r="M1149" i="1"/>
  <c r="T1148" i="1"/>
  <c r="S1148" i="1"/>
  <c r="R1148" i="1"/>
  <c r="O1148" i="1"/>
  <c r="N1148" i="1"/>
  <c r="M1148" i="1"/>
  <c r="T1147" i="1"/>
  <c r="S1147" i="1"/>
  <c r="R1147" i="1"/>
  <c r="O1147" i="1"/>
  <c r="N1147" i="1"/>
  <c r="M1147" i="1"/>
  <c r="P1147" i="1" s="1"/>
  <c r="T1146" i="1"/>
  <c r="S1146" i="1"/>
  <c r="R1146" i="1"/>
  <c r="O1146" i="1"/>
  <c r="N1146" i="1"/>
  <c r="M1146" i="1"/>
  <c r="T1145" i="1"/>
  <c r="S1145" i="1"/>
  <c r="R1145" i="1"/>
  <c r="O1145" i="1"/>
  <c r="N1145" i="1"/>
  <c r="P1145" i="1" s="1"/>
  <c r="M1145" i="1"/>
  <c r="T1144" i="1"/>
  <c r="S1144" i="1"/>
  <c r="R1144" i="1"/>
  <c r="O1144" i="1"/>
  <c r="N1144" i="1"/>
  <c r="M1144" i="1"/>
  <c r="P1144" i="1" s="1"/>
  <c r="T1143" i="1"/>
  <c r="S1143" i="1"/>
  <c r="R1143" i="1"/>
  <c r="O1143" i="1"/>
  <c r="N1143" i="1"/>
  <c r="M1143" i="1"/>
  <c r="P1143" i="1" s="1"/>
  <c r="T1142" i="1"/>
  <c r="S1142" i="1"/>
  <c r="R1142" i="1"/>
  <c r="O1142" i="1"/>
  <c r="N1142" i="1"/>
  <c r="P1142" i="1" s="1"/>
  <c r="M1142" i="1"/>
  <c r="T1141" i="1"/>
  <c r="S1141" i="1"/>
  <c r="R1141" i="1"/>
  <c r="O1141" i="1"/>
  <c r="N1141" i="1"/>
  <c r="M1141" i="1"/>
  <c r="T1140" i="1"/>
  <c r="S1140" i="1"/>
  <c r="R1140" i="1"/>
  <c r="O1140" i="1"/>
  <c r="N1140" i="1"/>
  <c r="M1140" i="1"/>
  <c r="T1139" i="1"/>
  <c r="S1139" i="1"/>
  <c r="R1139" i="1"/>
  <c r="O1139" i="1"/>
  <c r="N1139" i="1"/>
  <c r="M1139" i="1"/>
  <c r="P1139" i="1" s="1"/>
  <c r="T1138" i="1"/>
  <c r="S1138" i="1"/>
  <c r="R1138" i="1"/>
  <c r="O1138" i="1"/>
  <c r="P1138" i="1" s="1"/>
  <c r="N1138" i="1"/>
  <c r="M1138" i="1"/>
  <c r="T1137" i="1"/>
  <c r="S1137" i="1"/>
  <c r="R1137" i="1"/>
  <c r="O1137" i="1"/>
  <c r="N1137" i="1"/>
  <c r="M1137" i="1"/>
  <c r="T1136" i="1"/>
  <c r="S1136" i="1"/>
  <c r="R1136" i="1"/>
  <c r="P1136" i="1"/>
  <c r="O1136" i="1"/>
  <c r="N1136" i="1"/>
  <c r="M1136" i="1"/>
  <c r="T1135" i="1"/>
  <c r="S1135" i="1"/>
  <c r="R1135" i="1"/>
  <c r="O1135" i="1"/>
  <c r="P1135" i="1" s="1"/>
  <c r="N1135" i="1"/>
  <c r="M1135" i="1"/>
  <c r="T1134" i="1"/>
  <c r="S1134" i="1"/>
  <c r="R1134" i="1"/>
  <c r="O1134" i="1"/>
  <c r="N1134" i="1"/>
  <c r="M1134" i="1"/>
  <c r="T1133" i="1"/>
  <c r="S1133" i="1"/>
  <c r="R1133" i="1"/>
  <c r="O1133" i="1"/>
  <c r="N1133" i="1"/>
  <c r="M1133" i="1"/>
  <c r="T1132" i="1"/>
  <c r="S1132" i="1"/>
  <c r="R1132" i="1"/>
  <c r="O1132" i="1"/>
  <c r="N1132" i="1"/>
  <c r="M1132" i="1"/>
  <c r="P1132" i="1" s="1"/>
  <c r="T1131" i="1"/>
  <c r="S1131" i="1"/>
  <c r="R1131" i="1"/>
  <c r="P1131" i="1"/>
  <c r="O1131" i="1"/>
  <c r="N1131" i="1"/>
  <c r="M1131" i="1"/>
  <c r="T1130" i="1"/>
  <c r="S1130" i="1"/>
  <c r="R1130" i="1"/>
  <c r="O1130" i="1"/>
  <c r="N1130" i="1"/>
  <c r="M1130" i="1"/>
  <c r="T1129" i="1"/>
  <c r="S1129" i="1"/>
  <c r="R1129" i="1"/>
  <c r="O1129" i="1"/>
  <c r="N1129" i="1"/>
  <c r="M1129" i="1"/>
  <c r="T1128" i="1"/>
  <c r="S1128" i="1"/>
  <c r="R1128" i="1"/>
  <c r="O1128" i="1"/>
  <c r="N1128" i="1"/>
  <c r="M1128" i="1"/>
  <c r="T1127" i="1"/>
  <c r="S1127" i="1"/>
  <c r="R1127" i="1"/>
  <c r="O1127" i="1"/>
  <c r="N1127" i="1"/>
  <c r="M1127" i="1"/>
  <c r="P1127" i="1" s="1"/>
  <c r="T1126" i="1"/>
  <c r="S1126" i="1"/>
  <c r="R1126" i="1"/>
  <c r="O1126" i="1"/>
  <c r="N1126" i="1"/>
  <c r="M1126" i="1"/>
  <c r="T1125" i="1"/>
  <c r="S1125" i="1"/>
  <c r="R1125" i="1"/>
  <c r="O1125" i="1"/>
  <c r="N1125" i="1"/>
  <c r="M1125" i="1"/>
  <c r="T1124" i="1"/>
  <c r="S1124" i="1"/>
  <c r="R1124" i="1"/>
  <c r="O1124" i="1"/>
  <c r="N1124" i="1"/>
  <c r="M1124" i="1"/>
  <c r="T1123" i="1"/>
  <c r="S1123" i="1"/>
  <c r="R1123" i="1"/>
  <c r="O1123" i="1"/>
  <c r="N1123" i="1"/>
  <c r="M1123" i="1"/>
  <c r="P1123" i="1" s="1"/>
  <c r="T1122" i="1"/>
  <c r="S1122" i="1"/>
  <c r="R1122" i="1"/>
  <c r="O1122" i="1"/>
  <c r="N1122" i="1"/>
  <c r="M1122" i="1"/>
  <c r="T1121" i="1"/>
  <c r="S1121" i="1"/>
  <c r="R1121" i="1"/>
  <c r="O1121" i="1"/>
  <c r="N1121" i="1"/>
  <c r="P1121" i="1" s="1"/>
  <c r="M1121" i="1"/>
  <c r="T1120" i="1"/>
  <c r="S1120" i="1"/>
  <c r="R1120" i="1"/>
  <c r="O1120" i="1"/>
  <c r="N1120" i="1"/>
  <c r="M1120" i="1"/>
  <c r="P1120" i="1" s="1"/>
  <c r="T1119" i="1"/>
  <c r="S1119" i="1"/>
  <c r="R1119" i="1"/>
  <c r="O1119" i="1"/>
  <c r="P1119" i="1" s="1"/>
  <c r="N1119" i="1"/>
  <c r="M1119" i="1"/>
  <c r="T1118" i="1"/>
  <c r="S1118" i="1"/>
  <c r="R1118" i="1"/>
  <c r="O1118" i="1"/>
  <c r="N1118" i="1"/>
  <c r="M1118" i="1"/>
  <c r="T1117" i="1"/>
  <c r="S1117" i="1"/>
  <c r="R1117" i="1"/>
  <c r="O1117" i="1"/>
  <c r="N1117" i="1"/>
  <c r="M1117" i="1"/>
  <c r="T1116" i="1"/>
  <c r="S1116" i="1"/>
  <c r="R1116" i="1"/>
  <c r="O1116" i="1"/>
  <c r="N1116" i="1"/>
  <c r="M1116" i="1"/>
  <c r="P1116" i="1" s="1"/>
  <c r="T1115" i="1"/>
  <c r="S1115" i="1"/>
  <c r="R1115" i="1"/>
  <c r="O1115" i="1"/>
  <c r="N1115" i="1"/>
  <c r="M1115" i="1"/>
  <c r="P1115" i="1" s="1"/>
  <c r="T1114" i="1"/>
  <c r="S1114" i="1"/>
  <c r="R1114" i="1"/>
  <c r="O1114" i="1"/>
  <c r="N1114" i="1"/>
  <c r="M1114" i="1"/>
  <c r="T1113" i="1"/>
  <c r="S1113" i="1"/>
  <c r="R1113" i="1"/>
  <c r="O1113" i="1"/>
  <c r="N1113" i="1"/>
  <c r="M1113" i="1"/>
  <c r="T1112" i="1"/>
  <c r="S1112" i="1"/>
  <c r="R1112" i="1"/>
  <c r="O1112" i="1"/>
  <c r="N1112" i="1"/>
  <c r="M1112" i="1"/>
  <c r="T1111" i="1"/>
  <c r="S1111" i="1"/>
  <c r="R1111" i="1"/>
  <c r="O1111" i="1"/>
  <c r="N1111" i="1"/>
  <c r="M1111" i="1"/>
  <c r="P1111" i="1" s="1"/>
  <c r="T1110" i="1"/>
  <c r="S1110" i="1"/>
  <c r="R1110" i="1"/>
  <c r="O1110" i="1"/>
  <c r="N1110" i="1"/>
  <c r="M1110" i="1"/>
  <c r="T1109" i="1"/>
  <c r="S1109" i="1"/>
  <c r="R1109" i="1"/>
  <c r="O1109" i="1"/>
  <c r="N1109" i="1"/>
  <c r="M1109" i="1"/>
  <c r="P1109" i="1" s="1"/>
  <c r="T1108" i="1"/>
  <c r="S1108" i="1"/>
  <c r="R1108" i="1"/>
  <c r="O1108" i="1"/>
  <c r="N1108" i="1"/>
  <c r="M1108" i="1"/>
  <c r="T1107" i="1"/>
  <c r="S1107" i="1"/>
  <c r="R1107" i="1"/>
  <c r="O1107" i="1"/>
  <c r="N1107" i="1"/>
  <c r="P1107" i="1" s="1"/>
  <c r="M1107" i="1"/>
  <c r="T1106" i="1"/>
  <c r="S1106" i="1"/>
  <c r="R1106" i="1"/>
  <c r="O1106" i="1"/>
  <c r="N1106" i="1"/>
  <c r="M1106" i="1"/>
  <c r="T1105" i="1"/>
  <c r="S1105" i="1"/>
  <c r="R1105" i="1"/>
  <c r="O1105" i="1"/>
  <c r="N1105" i="1"/>
  <c r="P1105" i="1" s="1"/>
  <c r="M1105" i="1"/>
  <c r="T1104" i="1"/>
  <c r="S1104" i="1"/>
  <c r="R1104" i="1"/>
  <c r="O1104" i="1"/>
  <c r="N1104" i="1"/>
  <c r="M1104" i="1"/>
  <c r="P1104" i="1" s="1"/>
  <c r="T1103" i="1"/>
  <c r="S1103" i="1"/>
  <c r="R1103" i="1"/>
  <c r="O1103" i="1"/>
  <c r="N1103" i="1"/>
  <c r="M1103" i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T1100" i="1"/>
  <c r="S1100" i="1"/>
  <c r="R1100" i="1"/>
  <c r="O1100" i="1"/>
  <c r="N1100" i="1"/>
  <c r="M1100" i="1"/>
  <c r="P1100" i="1" s="1"/>
  <c r="T1099" i="1"/>
  <c r="S1099" i="1"/>
  <c r="R1099" i="1"/>
  <c r="O1099" i="1"/>
  <c r="P1099" i="1" s="1"/>
  <c r="N1099" i="1"/>
  <c r="M1099" i="1"/>
  <c r="T1098" i="1"/>
  <c r="S1098" i="1"/>
  <c r="R1098" i="1"/>
  <c r="O1098" i="1"/>
  <c r="N1098" i="1"/>
  <c r="M1098" i="1"/>
  <c r="T1097" i="1"/>
  <c r="S1097" i="1"/>
  <c r="R1097" i="1"/>
  <c r="O1097" i="1"/>
  <c r="N1097" i="1"/>
  <c r="M1097" i="1"/>
  <c r="T1096" i="1"/>
  <c r="S1096" i="1"/>
  <c r="R1096" i="1"/>
  <c r="O1096" i="1"/>
  <c r="N1096" i="1"/>
  <c r="M1096" i="1"/>
  <c r="P1096" i="1" s="1"/>
  <c r="T1095" i="1"/>
  <c r="S1095" i="1"/>
  <c r="R1095" i="1"/>
  <c r="O1095" i="1"/>
  <c r="N1095" i="1"/>
  <c r="M1095" i="1"/>
  <c r="T1094" i="1"/>
  <c r="S1094" i="1"/>
  <c r="R1094" i="1"/>
  <c r="O1094" i="1"/>
  <c r="N1094" i="1"/>
  <c r="P1094" i="1" s="1"/>
  <c r="M1094" i="1"/>
  <c r="T1093" i="1"/>
  <c r="S1093" i="1"/>
  <c r="R1093" i="1"/>
  <c r="O1093" i="1"/>
  <c r="N1093" i="1"/>
  <c r="M1093" i="1"/>
  <c r="T1092" i="1"/>
  <c r="S1092" i="1"/>
  <c r="R1092" i="1"/>
  <c r="O1092" i="1"/>
  <c r="N1092" i="1"/>
  <c r="M1092" i="1"/>
  <c r="T1091" i="1"/>
  <c r="S1091" i="1"/>
  <c r="R1091" i="1"/>
  <c r="O1091" i="1"/>
  <c r="N1091" i="1"/>
  <c r="M1091" i="1"/>
  <c r="P1091" i="1" s="1"/>
  <c r="T1090" i="1"/>
  <c r="S1090" i="1"/>
  <c r="R1090" i="1"/>
  <c r="O1090" i="1"/>
  <c r="P1090" i="1" s="1"/>
  <c r="N1090" i="1"/>
  <c r="M1090" i="1"/>
  <c r="T1089" i="1"/>
  <c r="S1089" i="1"/>
  <c r="R1089" i="1"/>
  <c r="O1089" i="1"/>
  <c r="N1089" i="1"/>
  <c r="M1089" i="1"/>
  <c r="T1088" i="1"/>
  <c r="S1088" i="1"/>
  <c r="R1088" i="1"/>
  <c r="O1088" i="1"/>
  <c r="N1088" i="1"/>
  <c r="M1088" i="1"/>
  <c r="P1088" i="1" s="1"/>
  <c r="T1087" i="1"/>
  <c r="S1087" i="1"/>
  <c r="R1087" i="1"/>
  <c r="O1087" i="1"/>
  <c r="N1087" i="1"/>
  <c r="M1087" i="1"/>
  <c r="T1086" i="1"/>
  <c r="S1086" i="1"/>
  <c r="R1086" i="1"/>
  <c r="O1086" i="1"/>
  <c r="N1086" i="1"/>
  <c r="M1086" i="1"/>
  <c r="T1085" i="1"/>
  <c r="S1085" i="1"/>
  <c r="R1085" i="1"/>
  <c r="O1085" i="1"/>
  <c r="N1085" i="1"/>
  <c r="M1085" i="1"/>
  <c r="T1084" i="1"/>
  <c r="S1084" i="1"/>
  <c r="R1084" i="1"/>
  <c r="O1084" i="1"/>
  <c r="N1084" i="1"/>
  <c r="M1084" i="1"/>
  <c r="P1084" i="1" s="1"/>
  <c r="T1083" i="1"/>
  <c r="S1083" i="1"/>
  <c r="R1083" i="1"/>
  <c r="O1083" i="1"/>
  <c r="P1083" i="1" s="1"/>
  <c r="N1083" i="1"/>
  <c r="M1083" i="1"/>
  <c r="T1082" i="1"/>
  <c r="S1082" i="1"/>
  <c r="R1082" i="1"/>
  <c r="O1082" i="1"/>
  <c r="N1082" i="1"/>
  <c r="M1082" i="1"/>
  <c r="T1081" i="1"/>
  <c r="S1081" i="1"/>
  <c r="R1081" i="1"/>
  <c r="O1081" i="1"/>
  <c r="N1081" i="1"/>
  <c r="M1081" i="1"/>
  <c r="T1080" i="1"/>
  <c r="S1080" i="1"/>
  <c r="R1080" i="1"/>
  <c r="O1080" i="1"/>
  <c r="N1080" i="1"/>
  <c r="M1080" i="1"/>
  <c r="P1080" i="1" s="1"/>
  <c r="T1079" i="1"/>
  <c r="S1079" i="1"/>
  <c r="R1079" i="1"/>
  <c r="O1079" i="1"/>
  <c r="N1079" i="1"/>
  <c r="M1079" i="1"/>
  <c r="P1079" i="1" s="1"/>
  <c r="T1078" i="1"/>
  <c r="S1078" i="1"/>
  <c r="R1078" i="1"/>
  <c r="O1078" i="1"/>
  <c r="N1078" i="1"/>
  <c r="P1078" i="1" s="1"/>
  <c r="M1078" i="1"/>
  <c r="T1077" i="1"/>
  <c r="S1077" i="1"/>
  <c r="R1077" i="1"/>
  <c r="O1077" i="1"/>
  <c r="N1077" i="1"/>
  <c r="M1077" i="1"/>
  <c r="T1076" i="1"/>
  <c r="S1076" i="1"/>
  <c r="R1076" i="1"/>
  <c r="O1076" i="1"/>
  <c r="N1076" i="1"/>
  <c r="M1076" i="1"/>
  <c r="T1075" i="1"/>
  <c r="S1075" i="1"/>
  <c r="R1075" i="1"/>
  <c r="O1075" i="1"/>
  <c r="N1075" i="1"/>
  <c r="M1075" i="1"/>
  <c r="P1075" i="1" s="1"/>
  <c r="T1074" i="1"/>
  <c r="S1074" i="1"/>
  <c r="R1074" i="1"/>
  <c r="O1074" i="1"/>
  <c r="P1074" i="1" s="1"/>
  <c r="N1074" i="1"/>
  <c r="M1074" i="1"/>
  <c r="T1073" i="1"/>
  <c r="S1073" i="1"/>
  <c r="R1073" i="1"/>
  <c r="O1073" i="1"/>
  <c r="N1073" i="1"/>
  <c r="M1073" i="1"/>
  <c r="T1072" i="1"/>
  <c r="S1072" i="1"/>
  <c r="R1072" i="1"/>
  <c r="P1072" i="1"/>
  <c r="O1072" i="1"/>
  <c r="N1072" i="1"/>
  <c r="M1072" i="1"/>
  <c r="T1071" i="1"/>
  <c r="S1071" i="1"/>
  <c r="R1071" i="1"/>
  <c r="O1071" i="1"/>
  <c r="P1071" i="1" s="1"/>
  <c r="N1071" i="1"/>
  <c r="M1071" i="1"/>
  <c r="T1070" i="1"/>
  <c r="S1070" i="1"/>
  <c r="R1070" i="1"/>
  <c r="O1070" i="1"/>
  <c r="N1070" i="1"/>
  <c r="M1070" i="1"/>
  <c r="T1069" i="1"/>
  <c r="S1069" i="1"/>
  <c r="R1069" i="1"/>
  <c r="O1069" i="1"/>
  <c r="N1069" i="1"/>
  <c r="M1069" i="1"/>
  <c r="T1068" i="1"/>
  <c r="S1068" i="1"/>
  <c r="R1068" i="1"/>
  <c r="O1068" i="1"/>
  <c r="N1068" i="1"/>
  <c r="M1068" i="1"/>
  <c r="P1068" i="1" s="1"/>
  <c r="T1067" i="1"/>
  <c r="S1067" i="1"/>
  <c r="R1067" i="1"/>
  <c r="P1067" i="1"/>
  <c r="O1067" i="1"/>
  <c r="N1067" i="1"/>
  <c r="M1067" i="1"/>
  <c r="T1066" i="1"/>
  <c r="S1066" i="1"/>
  <c r="R1066" i="1"/>
  <c r="O1066" i="1"/>
  <c r="N1066" i="1"/>
  <c r="M1066" i="1"/>
  <c r="T1065" i="1"/>
  <c r="S1065" i="1"/>
  <c r="R1065" i="1"/>
  <c r="O1065" i="1"/>
  <c r="N1065" i="1"/>
  <c r="M1065" i="1"/>
  <c r="T1064" i="1"/>
  <c r="S1064" i="1"/>
  <c r="R1064" i="1"/>
  <c r="O1064" i="1"/>
  <c r="N1064" i="1"/>
  <c r="M1064" i="1"/>
  <c r="T1063" i="1"/>
  <c r="S1063" i="1"/>
  <c r="R1063" i="1"/>
  <c r="O1063" i="1"/>
  <c r="N1063" i="1"/>
  <c r="M1063" i="1"/>
  <c r="P1063" i="1" s="1"/>
  <c r="T1062" i="1"/>
  <c r="S1062" i="1"/>
  <c r="R1062" i="1"/>
  <c r="O1062" i="1"/>
  <c r="N1062" i="1"/>
  <c r="M1062" i="1"/>
  <c r="T1061" i="1"/>
  <c r="S1061" i="1"/>
  <c r="R1061" i="1"/>
  <c r="O1061" i="1"/>
  <c r="N1061" i="1"/>
  <c r="M1061" i="1"/>
  <c r="T1060" i="1"/>
  <c r="S1060" i="1"/>
  <c r="R1060" i="1"/>
  <c r="O1060" i="1"/>
  <c r="N1060" i="1"/>
  <c r="M1060" i="1"/>
  <c r="T1059" i="1"/>
  <c r="S1059" i="1"/>
  <c r="R1059" i="1"/>
  <c r="O1059" i="1"/>
  <c r="N1059" i="1"/>
  <c r="M1059" i="1"/>
  <c r="P1059" i="1" s="1"/>
  <c r="T1058" i="1"/>
  <c r="S1058" i="1"/>
  <c r="R1058" i="1"/>
  <c r="O1058" i="1"/>
  <c r="N1058" i="1"/>
  <c r="M1058" i="1"/>
  <c r="T1057" i="1"/>
  <c r="S1057" i="1"/>
  <c r="R1057" i="1"/>
  <c r="O1057" i="1"/>
  <c r="N1057" i="1"/>
  <c r="P1057" i="1" s="1"/>
  <c r="M1057" i="1"/>
  <c r="T1056" i="1"/>
  <c r="S1056" i="1"/>
  <c r="R1056" i="1"/>
  <c r="O1056" i="1"/>
  <c r="N1056" i="1"/>
  <c r="M1056" i="1"/>
  <c r="P1056" i="1" s="1"/>
  <c r="T1055" i="1"/>
  <c r="S1055" i="1"/>
  <c r="R1055" i="1"/>
  <c r="O1055" i="1"/>
  <c r="P1055" i="1" s="1"/>
  <c r="N1055" i="1"/>
  <c r="M1055" i="1"/>
  <c r="T1054" i="1"/>
  <c r="S1054" i="1"/>
  <c r="R1054" i="1"/>
  <c r="O1054" i="1"/>
  <c r="N1054" i="1"/>
  <c r="M1054" i="1"/>
  <c r="T1053" i="1"/>
  <c r="S1053" i="1"/>
  <c r="R1053" i="1"/>
  <c r="O1053" i="1"/>
  <c r="N1053" i="1"/>
  <c r="M1053" i="1"/>
  <c r="T1052" i="1"/>
  <c r="S1052" i="1"/>
  <c r="R1052" i="1"/>
  <c r="O1052" i="1"/>
  <c r="N1052" i="1"/>
  <c r="M1052" i="1"/>
  <c r="P1052" i="1" s="1"/>
  <c r="T1051" i="1"/>
  <c r="S1051" i="1"/>
  <c r="R1051" i="1"/>
  <c r="P1051" i="1"/>
  <c r="O1051" i="1"/>
  <c r="N1051" i="1"/>
  <c r="M1051" i="1"/>
  <c r="T1050" i="1"/>
  <c r="S1050" i="1"/>
  <c r="R1050" i="1"/>
  <c r="O1050" i="1"/>
  <c r="N1050" i="1"/>
  <c r="M1050" i="1"/>
  <c r="T1049" i="1"/>
  <c r="S1049" i="1"/>
  <c r="R1049" i="1"/>
  <c r="O1049" i="1"/>
  <c r="N1049" i="1"/>
  <c r="M1049" i="1"/>
  <c r="T1048" i="1"/>
  <c r="S1048" i="1"/>
  <c r="R1048" i="1"/>
  <c r="O1048" i="1"/>
  <c r="N1048" i="1"/>
  <c r="M1048" i="1"/>
  <c r="T1047" i="1"/>
  <c r="S1047" i="1"/>
  <c r="R1047" i="1"/>
  <c r="O1047" i="1"/>
  <c r="N1047" i="1"/>
  <c r="M1047" i="1"/>
  <c r="P1047" i="1" s="1"/>
  <c r="T1046" i="1"/>
  <c r="S1046" i="1"/>
  <c r="R1046" i="1"/>
  <c r="O1046" i="1"/>
  <c r="N1046" i="1"/>
  <c r="M1046" i="1"/>
  <c r="T1045" i="1"/>
  <c r="S1045" i="1"/>
  <c r="R1045" i="1"/>
  <c r="O1045" i="1"/>
  <c r="N1045" i="1"/>
  <c r="M1045" i="1"/>
  <c r="P1045" i="1" s="1"/>
  <c r="T1044" i="1"/>
  <c r="S1044" i="1"/>
  <c r="R1044" i="1"/>
  <c r="O1044" i="1"/>
  <c r="N1044" i="1"/>
  <c r="M1044" i="1"/>
  <c r="T1043" i="1"/>
  <c r="S1043" i="1"/>
  <c r="R1043" i="1"/>
  <c r="O1043" i="1"/>
  <c r="N1043" i="1"/>
  <c r="P1043" i="1" s="1"/>
  <c r="M1043" i="1"/>
  <c r="T1042" i="1"/>
  <c r="S1042" i="1"/>
  <c r="R1042" i="1"/>
  <c r="O1042" i="1"/>
  <c r="N1042" i="1"/>
  <c r="M1042" i="1"/>
  <c r="T1041" i="1"/>
  <c r="S1041" i="1"/>
  <c r="R1041" i="1"/>
  <c r="O1041" i="1"/>
  <c r="N1041" i="1"/>
  <c r="P1041" i="1" s="1"/>
  <c r="M1041" i="1"/>
  <c r="T1040" i="1"/>
  <c r="S1040" i="1"/>
  <c r="R1040" i="1"/>
  <c r="O1040" i="1"/>
  <c r="N1040" i="1"/>
  <c r="M1040" i="1"/>
  <c r="P1040" i="1" s="1"/>
  <c r="T1039" i="1"/>
  <c r="S1039" i="1"/>
  <c r="R1039" i="1"/>
  <c r="O1039" i="1"/>
  <c r="N1039" i="1"/>
  <c r="M1039" i="1"/>
  <c r="T1038" i="1"/>
  <c r="S1038" i="1"/>
  <c r="R1038" i="1"/>
  <c r="O1038" i="1"/>
  <c r="N1038" i="1"/>
  <c r="M1038" i="1"/>
  <c r="T1037" i="1"/>
  <c r="S1037" i="1"/>
  <c r="R1037" i="1"/>
  <c r="O1037" i="1"/>
  <c r="N1037" i="1"/>
  <c r="M1037" i="1"/>
  <c r="T1036" i="1"/>
  <c r="S1036" i="1"/>
  <c r="R1036" i="1"/>
  <c r="O1036" i="1"/>
  <c r="N1036" i="1"/>
  <c r="M1036" i="1"/>
  <c r="P1036" i="1" s="1"/>
  <c r="T1035" i="1"/>
  <c r="S1035" i="1"/>
  <c r="R1035" i="1"/>
  <c r="O1035" i="1"/>
  <c r="P1035" i="1" s="1"/>
  <c r="N1035" i="1"/>
  <c r="M1035" i="1"/>
  <c r="T1034" i="1"/>
  <c r="S1034" i="1"/>
  <c r="R1034" i="1"/>
  <c r="O1034" i="1"/>
  <c r="N1034" i="1"/>
  <c r="M1034" i="1"/>
  <c r="T1033" i="1"/>
  <c r="S1033" i="1"/>
  <c r="R1033" i="1"/>
  <c r="O1033" i="1"/>
  <c r="N1033" i="1"/>
  <c r="M1033" i="1"/>
  <c r="T1032" i="1"/>
  <c r="S1032" i="1"/>
  <c r="R1032" i="1"/>
  <c r="O1032" i="1"/>
  <c r="N1032" i="1"/>
  <c r="M1032" i="1"/>
  <c r="P1032" i="1" s="1"/>
  <c r="T1031" i="1"/>
  <c r="S1031" i="1"/>
  <c r="R1031" i="1"/>
  <c r="O1031" i="1"/>
  <c r="N1031" i="1"/>
  <c r="M1031" i="1"/>
  <c r="T1030" i="1"/>
  <c r="S1030" i="1"/>
  <c r="R1030" i="1"/>
  <c r="O1030" i="1"/>
  <c r="N1030" i="1"/>
  <c r="P1030" i="1" s="1"/>
  <c r="M1030" i="1"/>
  <c r="T1029" i="1"/>
  <c r="S1029" i="1"/>
  <c r="R1029" i="1"/>
  <c r="O1029" i="1"/>
  <c r="N1029" i="1"/>
  <c r="M1029" i="1"/>
  <c r="T1028" i="1"/>
  <c r="S1028" i="1"/>
  <c r="R1028" i="1"/>
  <c r="O1028" i="1"/>
  <c r="N1028" i="1"/>
  <c r="M1028" i="1"/>
  <c r="T1027" i="1"/>
  <c r="S1027" i="1"/>
  <c r="R1027" i="1"/>
  <c r="O1027" i="1"/>
  <c r="N1027" i="1"/>
  <c r="M1027" i="1"/>
  <c r="P1027" i="1" s="1"/>
  <c r="T1026" i="1"/>
  <c r="S1026" i="1"/>
  <c r="R1026" i="1"/>
  <c r="O1026" i="1"/>
  <c r="P1026" i="1" s="1"/>
  <c r="N1026" i="1"/>
  <c r="M1026" i="1"/>
  <c r="T1025" i="1"/>
  <c r="S1025" i="1"/>
  <c r="R1025" i="1"/>
  <c r="O1025" i="1"/>
  <c r="N1025" i="1"/>
  <c r="M1025" i="1"/>
  <c r="P1025" i="1" s="1"/>
  <c r="T1024" i="1"/>
  <c r="S1024" i="1"/>
  <c r="R1024" i="1"/>
  <c r="P1024" i="1"/>
  <c r="O1024" i="1"/>
  <c r="N1024" i="1"/>
  <c r="M1024" i="1"/>
  <c r="T1023" i="1"/>
  <c r="S1023" i="1"/>
  <c r="R1023" i="1"/>
  <c r="O1023" i="1"/>
  <c r="N1023" i="1"/>
  <c r="M1023" i="1"/>
  <c r="T1022" i="1"/>
  <c r="S1022" i="1"/>
  <c r="R1022" i="1"/>
  <c r="O1022" i="1"/>
  <c r="N1022" i="1"/>
  <c r="M1022" i="1"/>
  <c r="T1021" i="1"/>
  <c r="S1021" i="1"/>
  <c r="R1021" i="1"/>
  <c r="O1021" i="1"/>
  <c r="N1021" i="1"/>
  <c r="M1021" i="1"/>
  <c r="T1020" i="1"/>
  <c r="S1020" i="1"/>
  <c r="R1020" i="1"/>
  <c r="O1020" i="1"/>
  <c r="N1020" i="1"/>
  <c r="M1020" i="1"/>
  <c r="P1020" i="1" s="1"/>
  <c r="T1019" i="1"/>
  <c r="S1019" i="1"/>
  <c r="R1019" i="1"/>
  <c r="O1019" i="1"/>
  <c r="P1019" i="1" s="1"/>
  <c r="N1019" i="1"/>
  <c r="M1019" i="1"/>
  <c r="T1018" i="1"/>
  <c r="S1018" i="1"/>
  <c r="R1018" i="1"/>
  <c r="O1018" i="1"/>
  <c r="N1018" i="1"/>
  <c r="M1018" i="1"/>
  <c r="T1017" i="1"/>
  <c r="S1017" i="1"/>
  <c r="R1017" i="1"/>
  <c r="O1017" i="1"/>
  <c r="N1017" i="1"/>
  <c r="M1017" i="1"/>
  <c r="T1016" i="1"/>
  <c r="S1016" i="1"/>
  <c r="R1016" i="1"/>
  <c r="O1016" i="1"/>
  <c r="N1016" i="1"/>
  <c r="M1016" i="1"/>
  <c r="P1016" i="1" s="1"/>
  <c r="T1015" i="1"/>
  <c r="S1015" i="1"/>
  <c r="R1015" i="1"/>
  <c r="P1015" i="1"/>
  <c r="O1015" i="1"/>
  <c r="N1015" i="1"/>
  <c r="M1015" i="1"/>
  <c r="T1014" i="1"/>
  <c r="S1014" i="1"/>
  <c r="R1014" i="1"/>
  <c r="O1014" i="1"/>
  <c r="N1014" i="1"/>
  <c r="P1014" i="1" s="1"/>
  <c r="M1014" i="1"/>
  <c r="T1013" i="1"/>
  <c r="S1013" i="1"/>
  <c r="R1013" i="1"/>
  <c r="O1013" i="1"/>
  <c r="N1013" i="1"/>
  <c r="M1013" i="1"/>
  <c r="T1012" i="1"/>
  <c r="S1012" i="1"/>
  <c r="R1012" i="1"/>
  <c r="O1012" i="1"/>
  <c r="N1012" i="1"/>
  <c r="M1012" i="1"/>
  <c r="T1011" i="1"/>
  <c r="S1011" i="1"/>
  <c r="R1011" i="1"/>
  <c r="O1011" i="1"/>
  <c r="N1011" i="1"/>
  <c r="M1011" i="1"/>
  <c r="P1011" i="1" s="1"/>
  <c r="T1010" i="1"/>
  <c r="S1010" i="1"/>
  <c r="R1010" i="1"/>
  <c r="O1010" i="1"/>
  <c r="N1010" i="1"/>
  <c r="M1010" i="1"/>
  <c r="T1009" i="1"/>
  <c r="S1009" i="1"/>
  <c r="R1009" i="1"/>
  <c r="O1009" i="1"/>
  <c r="N1009" i="1"/>
  <c r="M1009" i="1"/>
  <c r="P1009" i="1" s="1"/>
  <c r="T1008" i="1"/>
  <c r="S1008" i="1"/>
  <c r="R1008" i="1"/>
  <c r="P1008" i="1"/>
  <c r="O1008" i="1"/>
  <c r="N1008" i="1"/>
  <c r="M1008" i="1"/>
  <c r="T1007" i="1"/>
  <c r="S1007" i="1"/>
  <c r="R1007" i="1"/>
  <c r="O1007" i="1"/>
  <c r="P1007" i="1" s="1"/>
  <c r="N1007" i="1"/>
  <c r="M1007" i="1"/>
  <c r="T1006" i="1"/>
  <c r="S1006" i="1"/>
  <c r="R1006" i="1"/>
  <c r="O1006" i="1"/>
  <c r="N1006" i="1"/>
  <c r="M1006" i="1"/>
  <c r="T1005" i="1"/>
  <c r="S1005" i="1"/>
  <c r="R1005" i="1"/>
  <c r="O1005" i="1"/>
  <c r="N1005" i="1"/>
  <c r="M1005" i="1"/>
  <c r="T1004" i="1"/>
  <c r="S1004" i="1"/>
  <c r="R1004" i="1"/>
  <c r="O1004" i="1"/>
  <c r="N1004" i="1"/>
  <c r="M1004" i="1"/>
  <c r="P1004" i="1" s="1"/>
  <c r="T1003" i="1"/>
  <c r="S1003" i="1"/>
  <c r="R1003" i="1"/>
  <c r="P1003" i="1"/>
  <c r="O1003" i="1"/>
  <c r="N1003" i="1"/>
  <c r="M1003" i="1"/>
  <c r="T1002" i="1"/>
  <c r="S1002" i="1"/>
  <c r="R1002" i="1"/>
  <c r="O1002" i="1"/>
  <c r="N1002" i="1"/>
  <c r="M1002" i="1"/>
  <c r="T1001" i="1"/>
  <c r="S1001" i="1"/>
  <c r="R1001" i="1"/>
  <c r="O1001" i="1"/>
  <c r="N1001" i="1"/>
  <c r="M1001" i="1"/>
  <c r="P1001" i="1" s="1"/>
  <c r="T1000" i="1"/>
  <c r="S1000" i="1"/>
  <c r="R1000" i="1"/>
  <c r="O1000" i="1"/>
  <c r="N1000" i="1"/>
  <c r="M1000" i="1"/>
  <c r="T999" i="1"/>
  <c r="S999" i="1"/>
  <c r="R999" i="1"/>
  <c r="O999" i="1"/>
  <c r="N999" i="1"/>
  <c r="M999" i="1"/>
  <c r="P999" i="1" s="1"/>
  <c r="T998" i="1"/>
  <c r="S998" i="1"/>
  <c r="R998" i="1"/>
  <c r="O998" i="1"/>
  <c r="N998" i="1"/>
  <c r="M998" i="1"/>
  <c r="T997" i="1"/>
  <c r="S997" i="1"/>
  <c r="R997" i="1"/>
  <c r="O997" i="1"/>
  <c r="N997" i="1"/>
  <c r="M997" i="1"/>
  <c r="T996" i="1"/>
  <c r="S996" i="1"/>
  <c r="R996" i="1"/>
  <c r="O996" i="1"/>
  <c r="N996" i="1"/>
  <c r="M996" i="1"/>
  <c r="T995" i="1"/>
  <c r="S995" i="1"/>
  <c r="R995" i="1"/>
  <c r="O995" i="1"/>
  <c r="N995" i="1"/>
  <c r="M995" i="1"/>
  <c r="T994" i="1"/>
  <c r="S994" i="1"/>
  <c r="R994" i="1"/>
  <c r="O994" i="1"/>
  <c r="N994" i="1"/>
  <c r="M994" i="1"/>
  <c r="T993" i="1"/>
  <c r="S993" i="1"/>
  <c r="R993" i="1"/>
  <c r="O993" i="1"/>
  <c r="N993" i="1"/>
  <c r="M993" i="1"/>
  <c r="T992" i="1"/>
  <c r="S992" i="1"/>
  <c r="R992" i="1"/>
  <c r="O992" i="1"/>
  <c r="N992" i="1"/>
  <c r="M992" i="1"/>
  <c r="P992" i="1" s="1"/>
  <c r="T991" i="1"/>
  <c r="S991" i="1"/>
  <c r="R991" i="1"/>
  <c r="O991" i="1"/>
  <c r="P991" i="1" s="1"/>
  <c r="N991" i="1"/>
  <c r="M991" i="1"/>
  <c r="T990" i="1"/>
  <c r="S990" i="1"/>
  <c r="R990" i="1"/>
  <c r="O990" i="1"/>
  <c r="N990" i="1"/>
  <c r="M990" i="1"/>
  <c r="T989" i="1"/>
  <c r="S989" i="1"/>
  <c r="R989" i="1"/>
  <c r="O989" i="1"/>
  <c r="N989" i="1"/>
  <c r="M989" i="1"/>
  <c r="T988" i="1"/>
  <c r="S988" i="1"/>
  <c r="R988" i="1"/>
  <c r="O988" i="1"/>
  <c r="N988" i="1"/>
  <c r="M988" i="1"/>
  <c r="P988" i="1" s="1"/>
  <c r="T987" i="1"/>
  <c r="S987" i="1"/>
  <c r="R987" i="1"/>
  <c r="P987" i="1"/>
  <c r="O987" i="1"/>
  <c r="N987" i="1"/>
  <c r="M987" i="1"/>
  <c r="T986" i="1"/>
  <c r="S986" i="1"/>
  <c r="R986" i="1"/>
  <c r="O986" i="1"/>
  <c r="N986" i="1"/>
  <c r="P986" i="1" s="1"/>
  <c r="M986" i="1"/>
  <c r="T985" i="1"/>
  <c r="S985" i="1"/>
  <c r="R985" i="1"/>
  <c r="O985" i="1"/>
  <c r="N985" i="1"/>
  <c r="M985" i="1"/>
  <c r="T984" i="1"/>
  <c r="S984" i="1"/>
  <c r="R984" i="1"/>
  <c r="O984" i="1"/>
  <c r="N984" i="1"/>
  <c r="M984" i="1"/>
  <c r="T983" i="1"/>
  <c r="S983" i="1"/>
  <c r="R983" i="1"/>
  <c r="O983" i="1"/>
  <c r="N983" i="1"/>
  <c r="M983" i="1"/>
  <c r="P983" i="1" s="1"/>
  <c r="T982" i="1"/>
  <c r="S982" i="1"/>
  <c r="R982" i="1"/>
  <c r="O982" i="1"/>
  <c r="N982" i="1"/>
  <c r="M982" i="1"/>
  <c r="T981" i="1"/>
  <c r="S981" i="1"/>
  <c r="R981" i="1"/>
  <c r="O981" i="1"/>
  <c r="N981" i="1"/>
  <c r="M981" i="1"/>
  <c r="P981" i="1" s="1"/>
  <c r="T980" i="1"/>
  <c r="S980" i="1"/>
  <c r="R980" i="1"/>
  <c r="O980" i="1"/>
  <c r="N980" i="1"/>
  <c r="M980" i="1"/>
  <c r="T979" i="1"/>
  <c r="S979" i="1"/>
  <c r="R979" i="1"/>
  <c r="O979" i="1"/>
  <c r="N979" i="1"/>
  <c r="P979" i="1" s="1"/>
  <c r="M979" i="1"/>
  <c r="T978" i="1"/>
  <c r="S978" i="1"/>
  <c r="R978" i="1"/>
  <c r="O978" i="1"/>
  <c r="N978" i="1"/>
  <c r="M978" i="1"/>
  <c r="T977" i="1"/>
  <c r="S977" i="1"/>
  <c r="R977" i="1"/>
  <c r="O977" i="1"/>
  <c r="N977" i="1"/>
  <c r="M977" i="1"/>
  <c r="T976" i="1"/>
  <c r="S976" i="1"/>
  <c r="R976" i="1"/>
  <c r="O976" i="1"/>
  <c r="N976" i="1"/>
  <c r="M976" i="1"/>
  <c r="P976" i="1" s="1"/>
  <c r="T975" i="1"/>
  <c r="S975" i="1"/>
  <c r="R975" i="1"/>
  <c r="O975" i="1"/>
  <c r="N975" i="1"/>
  <c r="M975" i="1"/>
  <c r="T974" i="1"/>
  <c r="S974" i="1"/>
  <c r="R974" i="1"/>
  <c r="O974" i="1"/>
  <c r="N974" i="1"/>
  <c r="M974" i="1"/>
  <c r="T973" i="1"/>
  <c r="S973" i="1"/>
  <c r="R973" i="1"/>
  <c r="O973" i="1"/>
  <c r="N973" i="1"/>
  <c r="M973" i="1"/>
  <c r="T972" i="1"/>
  <c r="S972" i="1"/>
  <c r="R972" i="1"/>
  <c r="O972" i="1"/>
  <c r="N972" i="1"/>
  <c r="M972" i="1"/>
  <c r="P972" i="1" s="1"/>
  <c r="T971" i="1"/>
  <c r="S971" i="1"/>
  <c r="R971" i="1"/>
  <c r="O971" i="1"/>
  <c r="P971" i="1" s="1"/>
  <c r="N971" i="1"/>
  <c r="M971" i="1"/>
  <c r="T970" i="1"/>
  <c r="S970" i="1"/>
  <c r="R970" i="1"/>
  <c r="O970" i="1"/>
  <c r="N970" i="1"/>
  <c r="M970" i="1"/>
  <c r="T969" i="1"/>
  <c r="S969" i="1"/>
  <c r="R969" i="1"/>
  <c r="O969" i="1"/>
  <c r="N969" i="1"/>
  <c r="M969" i="1"/>
  <c r="T968" i="1"/>
  <c r="S968" i="1"/>
  <c r="R968" i="1"/>
  <c r="O968" i="1"/>
  <c r="N968" i="1"/>
  <c r="M968" i="1"/>
  <c r="T967" i="1"/>
  <c r="S967" i="1"/>
  <c r="R967" i="1"/>
  <c r="O967" i="1"/>
  <c r="N967" i="1"/>
  <c r="M967" i="1"/>
  <c r="T966" i="1"/>
  <c r="S966" i="1"/>
  <c r="R966" i="1"/>
  <c r="O966" i="1"/>
  <c r="N966" i="1"/>
  <c r="P966" i="1" s="1"/>
  <c r="M966" i="1"/>
  <c r="T965" i="1"/>
  <c r="S965" i="1"/>
  <c r="R965" i="1"/>
  <c r="O965" i="1"/>
  <c r="N965" i="1"/>
  <c r="M965" i="1"/>
  <c r="T964" i="1"/>
  <c r="S964" i="1"/>
  <c r="R964" i="1"/>
  <c r="O964" i="1"/>
  <c r="N964" i="1"/>
  <c r="M964" i="1"/>
  <c r="T963" i="1"/>
  <c r="S963" i="1"/>
  <c r="R963" i="1"/>
  <c r="O963" i="1"/>
  <c r="N963" i="1"/>
  <c r="M963" i="1"/>
  <c r="P963" i="1" s="1"/>
  <c r="T962" i="1"/>
  <c r="S962" i="1"/>
  <c r="R962" i="1"/>
  <c r="O962" i="1"/>
  <c r="N962" i="1"/>
  <c r="M962" i="1"/>
  <c r="T961" i="1"/>
  <c r="S961" i="1"/>
  <c r="R961" i="1"/>
  <c r="O961" i="1"/>
  <c r="N961" i="1"/>
  <c r="M961" i="1"/>
  <c r="P961" i="1" s="1"/>
  <c r="T960" i="1"/>
  <c r="S960" i="1"/>
  <c r="R960" i="1"/>
  <c r="P960" i="1"/>
  <c r="O960" i="1"/>
  <c r="N960" i="1"/>
  <c r="M960" i="1"/>
  <c r="T959" i="1"/>
  <c r="S959" i="1"/>
  <c r="R959" i="1"/>
  <c r="O959" i="1"/>
  <c r="N959" i="1"/>
  <c r="M959" i="1"/>
  <c r="T958" i="1"/>
  <c r="S958" i="1"/>
  <c r="R958" i="1"/>
  <c r="O958" i="1"/>
  <c r="N958" i="1"/>
  <c r="M958" i="1"/>
  <c r="T957" i="1"/>
  <c r="S957" i="1"/>
  <c r="R957" i="1"/>
  <c r="O957" i="1"/>
  <c r="N957" i="1"/>
  <c r="M957" i="1"/>
  <c r="T956" i="1"/>
  <c r="S956" i="1"/>
  <c r="R956" i="1"/>
  <c r="O956" i="1"/>
  <c r="N956" i="1"/>
  <c r="M956" i="1"/>
  <c r="P956" i="1" s="1"/>
  <c r="T955" i="1"/>
  <c r="S955" i="1"/>
  <c r="R955" i="1"/>
  <c r="O955" i="1"/>
  <c r="P955" i="1" s="1"/>
  <c r="N955" i="1"/>
  <c r="M955" i="1"/>
  <c r="T954" i="1"/>
  <c r="S954" i="1"/>
  <c r="R954" i="1"/>
  <c r="O954" i="1"/>
  <c r="N954" i="1"/>
  <c r="M954" i="1"/>
  <c r="T953" i="1"/>
  <c r="S953" i="1"/>
  <c r="R953" i="1"/>
  <c r="O953" i="1"/>
  <c r="N953" i="1"/>
  <c r="M953" i="1"/>
  <c r="T952" i="1"/>
  <c r="S952" i="1"/>
  <c r="R952" i="1"/>
  <c r="O952" i="1"/>
  <c r="N952" i="1"/>
  <c r="M952" i="1"/>
  <c r="P952" i="1" s="1"/>
  <c r="T951" i="1"/>
  <c r="S951" i="1"/>
  <c r="R951" i="1"/>
  <c r="P951" i="1"/>
  <c r="O951" i="1"/>
  <c r="N951" i="1"/>
  <c r="M951" i="1"/>
  <c r="T950" i="1"/>
  <c r="S950" i="1"/>
  <c r="R950" i="1"/>
  <c r="O950" i="1"/>
  <c r="N950" i="1"/>
  <c r="P950" i="1" s="1"/>
  <c r="M950" i="1"/>
  <c r="T949" i="1"/>
  <c r="S949" i="1"/>
  <c r="R949" i="1"/>
  <c r="O949" i="1"/>
  <c r="N949" i="1"/>
  <c r="M949" i="1"/>
  <c r="T948" i="1"/>
  <c r="S948" i="1"/>
  <c r="R948" i="1"/>
  <c r="O948" i="1"/>
  <c r="N948" i="1"/>
  <c r="M948" i="1"/>
  <c r="T947" i="1"/>
  <c r="S947" i="1"/>
  <c r="R947" i="1"/>
  <c r="O947" i="1"/>
  <c r="N947" i="1"/>
  <c r="M947" i="1"/>
  <c r="P947" i="1" s="1"/>
  <c r="T946" i="1"/>
  <c r="S946" i="1"/>
  <c r="R946" i="1"/>
  <c r="O946" i="1"/>
  <c r="N946" i="1"/>
  <c r="M946" i="1"/>
  <c r="T945" i="1"/>
  <c r="S945" i="1"/>
  <c r="R945" i="1"/>
  <c r="O945" i="1"/>
  <c r="N945" i="1"/>
  <c r="M945" i="1"/>
  <c r="P945" i="1" s="1"/>
  <c r="T944" i="1"/>
  <c r="S944" i="1"/>
  <c r="R944" i="1"/>
  <c r="P944" i="1"/>
  <c r="O944" i="1"/>
  <c r="N944" i="1"/>
  <c r="M944" i="1"/>
  <c r="T943" i="1"/>
  <c r="S943" i="1"/>
  <c r="R943" i="1"/>
  <c r="O943" i="1"/>
  <c r="P943" i="1" s="1"/>
  <c r="N943" i="1"/>
  <c r="M943" i="1"/>
  <c r="T942" i="1"/>
  <c r="S942" i="1"/>
  <c r="R942" i="1"/>
  <c r="O942" i="1"/>
  <c r="N942" i="1"/>
  <c r="M942" i="1"/>
  <c r="T941" i="1"/>
  <c r="S941" i="1"/>
  <c r="R941" i="1"/>
  <c r="O941" i="1"/>
  <c r="N941" i="1"/>
  <c r="M941" i="1"/>
  <c r="T940" i="1"/>
  <c r="S940" i="1"/>
  <c r="R940" i="1"/>
  <c r="O940" i="1"/>
  <c r="N940" i="1"/>
  <c r="M940" i="1"/>
  <c r="P940" i="1" s="1"/>
  <c r="T939" i="1"/>
  <c r="S939" i="1"/>
  <c r="R939" i="1"/>
  <c r="P939" i="1"/>
  <c r="O939" i="1"/>
  <c r="N939" i="1"/>
  <c r="M939" i="1"/>
  <c r="T938" i="1"/>
  <c r="S938" i="1"/>
  <c r="R938" i="1"/>
  <c r="O938" i="1"/>
  <c r="N938" i="1"/>
  <c r="M938" i="1"/>
  <c r="T937" i="1"/>
  <c r="S937" i="1"/>
  <c r="R937" i="1"/>
  <c r="O937" i="1"/>
  <c r="N937" i="1"/>
  <c r="M937" i="1"/>
  <c r="P937" i="1" s="1"/>
  <c r="T936" i="1"/>
  <c r="S936" i="1"/>
  <c r="R936" i="1"/>
  <c r="O936" i="1"/>
  <c r="N936" i="1"/>
  <c r="M936" i="1"/>
  <c r="T935" i="1"/>
  <c r="S935" i="1"/>
  <c r="R935" i="1"/>
  <c r="O935" i="1"/>
  <c r="N935" i="1"/>
  <c r="M935" i="1"/>
  <c r="P935" i="1" s="1"/>
  <c r="T934" i="1"/>
  <c r="S934" i="1"/>
  <c r="R934" i="1"/>
  <c r="O934" i="1"/>
  <c r="N934" i="1"/>
  <c r="M934" i="1"/>
  <c r="T933" i="1"/>
  <c r="S933" i="1"/>
  <c r="R933" i="1"/>
  <c r="O933" i="1"/>
  <c r="N933" i="1"/>
  <c r="M933" i="1"/>
  <c r="T932" i="1"/>
  <c r="S932" i="1"/>
  <c r="R932" i="1"/>
  <c r="O932" i="1"/>
  <c r="N932" i="1"/>
  <c r="M932" i="1"/>
  <c r="T931" i="1"/>
  <c r="S931" i="1"/>
  <c r="R931" i="1"/>
  <c r="O931" i="1"/>
  <c r="N931" i="1"/>
  <c r="M931" i="1"/>
  <c r="T930" i="1"/>
  <c r="S930" i="1"/>
  <c r="R930" i="1"/>
  <c r="O930" i="1"/>
  <c r="N930" i="1"/>
  <c r="M930" i="1"/>
  <c r="T929" i="1"/>
  <c r="S929" i="1"/>
  <c r="R929" i="1"/>
  <c r="O929" i="1"/>
  <c r="N929" i="1"/>
  <c r="M929" i="1"/>
  <c r="T928" i="1"/>
  <c r="S928" i="1"/>
  <c r="R928" i="1"/>
  <c r="O928" i="1"/>
  <c r="N928" i="1"/>
  <c r="M928" i="1"/>
  <c r="P928" i="1" s="1"/>
  <c r="T927" i="1"/>
  <c r="S927" i="1"/>
  <c r="R927" i="1"/>
  <c r="O927" i="1"/>
  <c r="P927" i="1" s="1"/>
  <c r="N927" i="1"/>
  <c r="M927" i="1"/>
  <c r="T926" i="1"/>
  <c r="S926" i="1"/>
  <c r="R926" i="1"/>
  <c r="O926" i="1"/>
  <c r="N926" i="1"/>
  <c r="M926" i="1"/>
  <c r="T925" i="1"/>
  <c r="S925" i="1"/>
  <c r="R925" i="1"/>
  <c r="O925" i="1"/>
  <c r="N925" i="1"/>
  <c r="M925" i="1"/>
  <c r="T924" i="1"/>
  <c r="S924" i="1"/>
  <c r="R924" i="1"/>
  <c r="O924" i="1"/>
  <c r="N924" i="1"/>
  <c r="M924" i="1"/>
  <c r="P924" i="1" s="1"/>
  <c r="T923" i="1"/>
  <c r="S923" i="1"/>
  <c r="R923" i="1"/>
  <c r="O923" i="1"/>
  <c r="N923" i="1"/>
  <c r="M923" i="1"/>
  <c r="P923" i="1" s="1"/>
  <c r="T922" i="1"/>
  <c r="S922" i="1"/>
  <c r="R922" i="1"/>
  <c r="O922" i="1"/>
  <c r="N922" i="1"/>
  <c r="P922" i="1" s="1"/>
  <c r="M922" i="1"/>
  <c r="T921" i="1"/>
  <c r="S921" i="1"/>
  <c r="R921" i="1"/>
  <c r="O921" i="1"/>
  <c r="N921" i="1"/>
  <c r="M921" i="1"/>
  <c r="T920" i="1"/>
  <c r="S920" i="1"/>
  <c r="R920" i="1"/>
  <c r="O920" i="1"/>
  <c r="N920" i="1"/>
  <c r="M920" i="1"/>
  <c r="T919" i="1"/>
  <c r="S919" i="1"/>
  <c r="R919" i="1"/>
  <c r="O919" i="1"/>
  <c r="N919" i="1"/>
  <c r="M919" i="1"/>
  <c r="T918" i="1"/>
  <c r="S918" i="1"/>
  <c r="R918" i="1"/>
  <c r="O918" i="1"/>
  <c r="N918" i="1"/>
  <c r="M918" i="1"/>
  <c r="T917" i="1"/>
  <c r="S917" i="1"/>
  <c r="R917" i="1"/>
  <c r="O917" i="1"/>
  <c r="N917" i="1"/>
  <c r="M917" i="1"/>
  <c r="P917" i="1" s="1"/>
  <c r="T916" i="1"/>
  <c r="S916" i="1"/>
  <c r="R916" i="1"/>
  <c r="O916" i="1"/>
  <c r="N916" i="1"/>
  <c r="M916" i="1"/>
  <c r="T915" i="1"/>
  <c r="S915" i="1"/>
  <c r="R915" i="1"/>
  <c r="O915" i="1"/>
  <c r="N915" i="1"/>
  <c r="M915" i="1"/>
  <c r="T914" i="1"/>
  <c r="S914" i="1"/>
  <c r="R914" i="1"/>
  <c r="O914" i="1"/>
  <c r="N914" i="1"/>
  <c r="M914" i="1"/>
  <c r="T913" i="1"/>
  <c r="S913" i="1"/>
  <c r="R913" i="1"/>
  <c r="O913" i="1"/>
  <c r="N913" i="1"/>
  <c r="M913" i="1"/>
  <c r="T912" i="1"/>
  <c r="S912" i="1"/>
  <c r="R912" i="1"/>
  <c r="O912" i="1"/>
  <c r="N912" i="1"/>
  <c r="M912" i="1"/>
  <c r="P912" i="1" s="1"/>
  <c r="T911" i="1"/>
  <c r="S911" i="1"/>
  <c r="R911" i="1"/>
  <c r="O911" i="1"/>
  <c r="P911" i="1" s="1"/>
  <c r="N911" i="1"/>
  <c r="M911" i="1"/>
  <c r="T910" i="1"/>
  <c r="S910" i="1"/>
  <c r="R910" i="1"/>
  <c r="O910" i="1"/>
  <c r="N910" i="1"/>
  <c r="M910" i="1"/>
  <c r="T909" i="1"/>
  <c r="S909" i="1"/>
  <c r="R909" i="1"/>
  <c r="O909" i="1"/>
  <c r="N909" i="1"/>
  <c r="M909" i="1"/>
  <c r="T908" i="1"/>
  <c r="S908" i="1"/>
  <c r="R908" i="1"/>
  <c r="O908" i="1"/>
  <c r="N908" i="1"/>
  <c r="M908" i="1"/>
  <c r="P908" i="1" s="1"/>
  <c r="T907" i="1"/>
  <c r="S907" i="1"/>
  <c r="R907" i="1"/>
  <c r="P907" i="1"/>
  <c r="O907" i="1"/>
  <c r="N907" i="1"/>
  <c r="M907" i="1"/>
  <c r="T906" i="1"/>
  <c r="S906" i="1"/>
  <c r="R906" i="1"/>
  <c r="O906" i="1"/>
  <c r="N906" i="1"/>
  <c r="P906" i="1" s="1"/>
  <c r="M906" i="1"/>
  <c r="T905" i="1"/>
  <c r="S905" i="1"/>
  <c r="R905" i="1"/>
  <c r="O905" i="1"/>
  <c r="N905" i="1"/>
  <c r="M905" i="1"/>
  <c r="T904" i="1"/>
  <c r="S904" i="1"/>
  <c r="R904" i="1"/>
  <c r="O904" i="1"/>
  <c r="N904" i="1"/>
  <c r="M904" i="1"/>
  <c r="P904" i="1" s="1"/>
  <c r="T903" i="1"/>
  <c r="S903" i="1"/>
  <c r="R903" i="1"/>
  <c r="O903" i="1"/>
  <c r="N903" i="1"/>
  <c r="M903" i="1"/>
  <c r="T902" i="1"/>
  <c r="S902" i="1"/>
  <c r="R902" i="1"/>
  <c r="O902" i="1"/>
  <c r="N902" i="1"/>
  <c r="P902" i="1" s="1"/>
  <c r="M902" i="1"/>
  <c r="T901" i="1"/>
  <c r="S901" i="1"/>
  <c r="R901" i="1"/>
  <c r="O901" i="1"/>
  <c r="N901" i="1"/>
  <c r="M901" i="1"/>
  <c r="T900" i="1"/>
  <c r="S900" i="1"/>
  <c r="R900" i="1"/>
  <c r="O900" i="1"/>
  <c r="N900" i="1"/>
  <c r="M900" i="1"/>
  <c r="T899" i="1"/>
  <c r="S899" i="1"/>
  <c r="R899" i="1"/>
  <c r="O899" i="1"/>
  <c r="N899" i="1"/>
  <c r="M899" i="1"/>
  <c r="P899" i="1" s="1"/>
  <c r="T898" i="1"/>
  <c r="S898" i="1"/>
  <c r="R898" i="1"/>
  <c r="O898" i="1"/>
  <c r="N898" i="1"/>
  <c r="M898" i="1"/>
  <c r="T897" i="1"/>
  <c r="S897" i="1"/>
  <c r="R897" i="1"/>
  <c r="O897" i="1"/>
  <c r="N897" i="1"/>
  <c r="M897" i="1"/>
  <c r="T896" i="1"/>
  <c r="S896" i="1"/>
  <c r="R896" i="1"/>
  <c r="O896" i="1"/>
  <c r="N896" i="1"/>
  <c r="M896" i="1"/>
  <c r="P896" i="1" s="1"/>
  <c r="T895" i="1"/>
  <c r="S895" i="1"/>
  <c r="R895" i="1"/>
  <c r="O895" i="1"/>
  <c r="N895" i="1"/>
  <c r="M895" i="1"/>
  <c r="T894" i="1"/>
  <c r="S894" i="1"/>
  <c r="R894" i="1"/>
  <c r="O894" i="1"/>
  <c r="N894" i="1"/>
  <c r="M894" i="1"/>
  <c r="T893" i="1"/>
  <c r="S893" i="1"/>
  <c r="R893" i="1"/>
  <c r="O893" i="1"/>
  <c r="N893" i="1"/>
  <c r="M893" i="1"/>
  <c r="T892" i="1"/>
  <c r="S892" i="1"/>
  <c r="R892" i="1"/>
  <c r="O892" i="1"/>
  <c r="N892" i="1"/>
  <c r="M892" i="1"/>
  <c r="P892" i="1" s="1"/>
  <c r="T891" i="1"/>
  <c r="S891" i="1"/>
  <c r="R891" i="1"/>
  <c r="O891" i="1"/>
  <c r="P891" i="1" s="1"/>
  <c r="N891" i="1"/>
  <c r="M891" i="1"/>
  <c r="T890" i="1"/>
  <c r="S890" i="1"/>
  <c r="R890" i="1"/>
  <c r="O890" i="1"/>
  <c r="N890" i="1"/>
  <c r="M890" i="1"/>
  <c r="T889" i="1"/>
  <c r="S889" i="1"/>
  <c r="R889" i="1"/>
  <c r="O889" i="1"/>
  <c r="N889" i="1"/>
  <c r="M889" i="1"/>
  <c r="T888" i="1"/>
  <c r="S888" i="1"/>
  <c r="R888" i="1"/>
  <c r="O888" i="1"/>
  <c r="N888" i="1"/>
  <c r="M888" i="1"/>
  <c r="P888" i="1" s="1"/>
  <c r="T887" i="1"/>
  <c r="S887" i="1"/>
  <c r="R887" i="1"/>
  <c r="P887" i="1"/>
  <c r="O887" i="1"/>
  <c r="N887" i="1"/>
  <c r="M887" i="1"/>
  <c r="T886" i="1"/>
  <c r="S886" i="1"/>
  <c r="R886" i="1"/>
  <c r="O886" i="1"/>
  <c r="N886" i="1"/>
  <c r="P886" i="1" s="1"/>
  <c r="M886" i="1"/>
  <c r="T885" i="1"/>
  <c r="S885" i="1"/>
  <c r="R885" i="1"/>
  <c r="O885" i="1"/>
  <c r="N885" i="1"/>
  <c r="M885" i="1"/>
  <c r="T884" i="1"/>
  <c r="S884" i="1"/>
  <c r="R884" i="1"/>
  <c r="O884" i="1"/>
  <c r="N884" i="1"/>
  <c r="M884" i="1"/>
  <c r="T883" i="1"/>
  <c r="S883" i="1"/>
  <c r="R883" i="1"/>
  <c r="O883" i="1"/>
  <c r="N883" i="1"/>
  <c r="M883" i="1"/>
  <c r="P883" i="1" s="1"/>
  <c r="T882" i="1"/>
  <c r="S882" i="1"/>
  <c r="R882" i="1"/>
  <c r="O882" i="1"/>
  <c r="N882" i="1"/>
  <c r="M882" i="1"/>
  <c r="T881" i="1"/>
  <c r="S881" i="1"/>
  <c r="R881" i="1"/>
  <c r="O881" i="1"/>
  <c r="N881" i="1"/>
  <c r="M881" i="1"/>
  <c r="P881" i="1" s="1"/>
  <c r="T880" i="1"/>
  <c r="S880" i="1"/>
  <c r="R880" i="1"/>
  <c r="P880" i="1"/>
  <c r="O880" i="1"/>
  <c r="N880" i="1"/>
  <c r="M880" i="1"/>
  <c r="T879" i="1"/>
  <c r="S879" i="1"/>
  <c r="R879" i="1"/>
  <c r="O879" i="1"/>
  <c r="P879" i="1" s="1"/>
  <c r="N879" i="1"/>
  <c r="M879" i="1"/>
  <c r="T878" i="1"/>
  <c r="S878" i="1"/>
  <c r="R878" i="1"/>
  <c r="O878" i="1"/>
  <c r="N878" i="1"/>
  <c r="M878" i="1"/>
  <c r="T877" i="1"/>
  <c r="S877" i="1"/>
  <c r="R877" i="1"/>
  <c r="O877" i="1"/>
  <c r="N877" i="1"/>
  <c r="M877" i="1"/>
  <c r="T876" i="1"/>
  <c r="S876" i="1"/>
  <c r="R876" i="1"/>
  <c r="O876" i="1"/>
  <c r="N876" i="1"/>
  <c r="M876" i="1"/>
  <c r="P876" i="1" s="1"/>
  <c r="T875" i="1"/>
  <c r="S875" i="1"/>
  <c r="R875" i="1"/>
  <c r="P875" i="1"/>
  <c r="O875" i="1"/>
  <c r="N875" i="1"/>
  <c r="M875" i="1"/>
  <c r="T874" i="1"/>
  <c r="S874" i="1"/>
  <c r="R874" i="1"/>
  <c r="O874" i="1"/>
  <c r="N874" i="1"/>
  <c r="M874" i="1"/>
  <c r="T873" i="1"/>
  <c r="S873" i="1"/>
  <c r="R873" i="1"/>
  <c r="O873" i="1"/>
  <c r="N873" i="1"/>
  <c r="M873" i="1"/>
  <c r="P873" i="1" s="1"/>
  <c r="T872" i="1"/>
  <c r="S872" i="1"/>
  <c r="R872" i="1"/>
  <c r="O872" i="1"/>
  <c r="N872" i="1"/>
  <c r="M872" i="1"/>
  <c r="T871" i="1"/>
  <c r="S871" i="1"/>
  <c r="R871" i="1"/>
  <c r="O871" i="1"/>
  <c r="N871" i="1"/>
  <c r="M871" i="1"/>
  <c r="P871" i="1" s="1"/>
  <c r="T870" i="1"/>
  <c r="S870" i="1"/>
  <c r="R870" i="1"/>
  <c r="O870" i="1"/>
  <c r="N870" i="1"/>
  <c r="M870" i="1"/>
  <c r="T869" i="1"/>
  <c r="S869" i="1"/>
  <c r="R869" i="1"/>
  <c r="O869" i="1"/>
  <c r="N869" i="1"/>
  <c r="M869" i="1"/>
  <c r="T868" i="1"/>
  <c r="S868" i="1"/>
  <c r="R868" i="1"/>
  <c r="O868" i="1"/>
  <c r="N868" i="1"/>
  <c r="M868" i="1"/>
  <c r="T867" i="1"/>
  <c r="S867" i="1"/>
  <c r="R867" i="1"/>
  <c r="O867" i="1"/>
  <c r="N867" i="1"/>
  <c r="M867" i="1"/>
  <c r="P867" i="1" s="1"/>
  <c r="T866" i="1"/>
  <c r="S866" i="1"/>
  <c r="R866" i="1"/>
  <c r="O866" i="1"/>
  <c r="N866" i="1"/>
  <c r="M866" i="1"/>
  <c r="T865" i="1"/>
  <c r="S865" i="1"/>
  <c r="R865" i="1"/>
  <c r="O865" i="1"/>
  <c r="N865" i="1"/>
  <c r="M865" i="1"/>
  <c r="T864" i="1"/>
  <c r="S864" i="1"/>
  <c r="R864" i="1"/>
  <c r="O864" i="1"/>
  <c r="N864" i="1"/>
  <c r="M864" i="1"/>
  <c r="T863" i="1"/>
  <c r="S863" i="1"/>
  <c r="R863" i="1"/>
  <c r="O863" i="1"/>
  <c r="P863" i="1" s="1"/>
  <c r="N863" i="1"/>
  <c r="M863" i="1"/>
  <c r="T862" i="1"/>
  <c r="S862" i="1"/>
  <c r="R862" i="1"/>
  <c r="O862" i="1"/>
  <c r="N862" i="1"/>
  <c r="M862" i="1"/>
  <c r="T861" i="1"/>
  <c r="S861" i="1"/>
  <c r="R861" i="1"/>
  <c r="O861" i="1"/>
  <c r="N861" i="1"/>
  <c r="M861" i="1"/>
  <c r="T860" i="1"/>
  <c r="S860" i="1"/>
  <c r="R860" i="1"/>
  <c r="O860" i="1"/>
  <c r="N860" i="1"/>
  <c r="M860" i="1"/>
  <c r="T859" i="1"/>
  <c r="S859" i="1"/>
  <c r="R859" i="1"/>
  <c r="O859" i="1"/>
  <c r="N859" i="1"/>
  <c r="M859" i="1"/>
  <c r="P859" i="1" s="1"/>
  <c r="T858" i="1"/>
  <c r="S858" i="1"/>
  <c r="R858" i="1"/>
  <c r="O858" i="1"/>
  <c r="N858" i="1"/>
  <c r="P858" i="1" s="1"/>
  <c r="M858" i="1"/>
  <c r="T857" i="1"/>
  <c r="S857" i="1"/>
  <c r="R857" i="1"/>
  <c r="O857" i="1"/>
  <c r="N857" i="1"/>
  <c r="M857" i="1"/>
  <c r="T856" i="1"/>
  <c r="S856" i="1"/>
  <c r="R856" i="1"/>
  <c r="O856" i="1"/>
  <c r="N856" i="1"/>
  <c r="M856" i="1"/>
  <c r="T855" i="1"/>
  <c r="S855" i="1"/>
  <c r="R855" i="1"/>
  <c r="O855" i="1"/>
  <c r="N855" i="1"/>
  <c r="M855" i="1"/>
  <c r="T854" i="1"/>
  <c r="S854" i="1"/>
  <c r="R854" i="1"/>
  <c r="O854" i="1"/>
  <c r="N854" i="1"/>
  <c r="M854" i="1"/>
  <c r="T853" i="1"/>
  <c r="S853" i="1"/>
  <c r="R853" i="1"/>
  <c r="O853" i="1"/>
  <c r="N853" i="1"/>
  <c r="M853" i="1"/>
  <c r="P853" i="1" s="1"/>
  <c r="T852" i="1"/>
  <c r="S852" i="1"/>
  <c r="R852" i="1"/>
  <c r="O852" i="1"/>
  <c r="N852" i="1"/>
  <c r="M852" i="1"/>
  <c r="T851" i="1"/>
  <c r="S851" i="1"/>
  <c r="R851" i="1"/>
  <c r="O851" i="1"/>
  <c r="N851" i="1"/>
  <c r="P851" i="1" s="1"/>
  <c r="M851" i="1"/>
  <c r="T850" i="1"/>
  <c r="S850" i="1"/>
  <c r="R850" i="1"/>
  <c r="O850" i="1"/>
  <c r="N850" i="1"/>
  <c r="M850" i="1"/>
  <c r="T849" i="1"/>
  <c r="S849" i="1"/>
  <c r="R849" i="1"/>
  <c r="O849" i="1"/>
  <c r="N849" i="1"/>
  <c r="M849" i="1"/>
  <c r="T848" i="1"/>
  <c r="S848" i="1"/>
  <c r="R848" i="1"/>
  <c r="O848" i="1"/>
  <c r="N848" i="1"/>
  <c r="M848" i="1"/>
  <c r="P848" i="1" s="1"/>
  <c r="T847" i="1"/>
  <c r="S847" i="1"/>
  <c r="R847" i="1"/>
  <c r="O847" i="1"/>
  <c r="N847" i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T844" i="1"/>
  <c r="S844" i="1"/>
  <c r="R844" i="1"/>
  <c r="O844" i="1"/>
  <c r="N844" i="1"/>
  <c r="M844" i="1"/>
  <c r="P844" i="1" s="1"/>
  <c r="T843" i="1"/>
  <c r="S843" i="1"/>
  <c r="R843" i="1"/>
  <c r="O843" i="1"/>
  <c r="P843" i="1" s="1"/>
  <c r="N843" i="1"/>
  <c r="M843" i="1"/>
  <c r="T842" i="1"/>
  <c r="S842" i="1"/>
  <c r="R842" i="1"/>
  <c r="O842" i="1"/>
  <c r="N842" i="1"/>
  <c r="M842" i="1"/>
  <c r="T841" i="1"/>
  <c r="S841" i="1"/>
  <c r="R841" i="1"/>
  <c r="O841" i="1"/>
  <c r="N841" i="1"/>
  <c r="M841" i="1"/>
  <c r="T840" i="1"/>
  <c r="S840" i="1"/>
  <c r="R840" i="1"/>
  <c r="O840" i="1"/>
  <c r="N840" i="1"/>
  <c r="M840" i="1"/>
  <c r="T839" i="1"/>
  <c r="S839" i="1"/>
  <c r="R839" i="1"/>
  <c r="O839" i="1"/>
  <c r="N839" i="1"/>
  <c r="M839" i="1"/>
  <c r="P839" i="1" s="1"/>
  <c r="T838" i="1"/>
  <c r="S838" i="1"/>
  <c r="R838" i="1"/>
  <c r="O838" i="1"/>
  <c r="N838" i="1"/>
  <c r="M838" i="1"/>
  <c r="T837" i="1"/>
  <c r="S837" i="1"/>
  <c r="R837" i="1"/>
  <c r="O837" i="1"/>
  <c r="N837" i="1"/>
  <c r="M837" i="1"/>
  <c r="T836" i="1"/>
  <c r="S836" i="1"/>
  <c r="R836" i="1"/>
  <c r="O836" i="1"/>
  <c r="N836" i="1"/>
  <c r="M836" i="1"/>
  <c r="T835" i="1"/>
  <c r="S835" i="1"/>
  <c r="R835" i="1"/>
  <c r="O835" i="1"/>
  <c r="N835" i="1"/>
  <c r="M835" i="1"/>
  <c r="T834" i="1"/>
  <c r="S834" i="1"/>
  <c r="R834" i="1"/>
  <c r="O834" i="1"/>
  <c r="N834" i="1"/>
  <c r="M834" i="1"/>
  <c r="T833" i="1"/>
  <c r="S833" i="1"/>
  <c r="R833" i="1"/>
  <c r="O833" i="1"/>
  <c r="N833" i="1"/>
  <c r="M833" i="1"/>
  <c r="T832" i="1"/>
  <c r="S832" i="1"/>
  <c r="R832" i="1"/>
  <c r="O832" i="1"/>
  <c r="N832" i="1"/>
  <c r="M832" i="1"/>
  <c r="P832" i="1" s="1"/>
  <c r="T831" i="1"/>
  <c r="S831" i="1"/>
  <c r="R831" i="1"/>
  <c r="O831" i="1"/>
  <c r="P831" i="1" s="1"/>
  <c r="N831" i="1"/>
  <c r="M831" i="1"/>
  <c r="T830" i="1"/>
  <c r="S830" i="1"/>
  <c r="R830" i="1"/>
  <c r="O830" i="1"/>
  <c r="N830" i="1"/>
  <c r="M830" i="1"/>
  <c r="T829" i="1"/>
  <c r="S829" i="1"/>
  <c r="R829" i="1"/>
  <c r="O829" i="1"/>
  <c r="N829" i="1"/>
  <c r="M829" i="1"/>
  <c r="T828" i="1"/>
  <c r="S828" i="1"/>
  <c r="R828" i="1"/>
  <c r="O828" i="1"/>
  <c r="N828" i="1"/>
  <c r="M828" i="1"/>
  <c r="P828" i="1" s="1"/>
  <c r="T827" i="1"/>
  <c r="S827" i="1"/>
  <c r="R827" i="1"/>
  <c r="O827" i="1"/>
  <c r="P827" i="1" s="1"/>
  <c r="N827" i="1"/>
  <c r="M827" i="1"/>
  <c r="T826" i="1"/>
  <c r="S826" i="1"/>
  <c r="R826" i="1"/>
  <c r="O826" i="1"/>
  <c r="N826" i="1"/>
  <c r="M826" i="1"/>
  <c r="T825" i="1"/>
  <c r="S825" i="1"/>
  <c r="R825" i="1"/>
  <c r="O825" i="1"/>
  <c r="N825" i="1"/>
  <c r="M825" i="1"/>
  <c r="T824" i="1"/>
  <c r="S824" i="1"/>
  <c r="R824" i="1"/>
  <c r="O824" i="1"/>
  <c r="N824" i="1"/>
  <c r="M824" i="1"/>
  <c r="T823" i="1"/>
  <c r="S823" i="1"/>
  <c r="R823" i="1"/>
  <c r="O823" i="1"/>
  <c r="N823" i="1"/>
  <c r="M823" i="1"/>
  <c r="T822" i="1"/>
  <c r="S822" i="1"/>
  <c r="R822" i="1"/>
  <c r="O822" i="1"/>
  <c r="N822" i="1"/>
  <c r="M822" i="1"/>
  <c r="T821" i="1"/>
  <c r="S821" i="1"/>
  <c r="R821" i="1"/>
  <c r="O821" i="1"/>
  <c r="N821" i="1"/>
  <c r="M821" i="1"/>
  <c r="T820" i="1"/>
  <c r="S820" i="1"/>
  <c r="R820" i="1"/>
  <c r="O820" i="1"/>
  <c r="N820" i="1"/>
  <c r="M820" i="1"/>
  <c r="T819" i="1"/>
  <c r="S819" i="1"/>
  <c r="R819" i="1"/>
  <c r="O819" i="1"/>
  <c r="N819" i="1"/>
  <c r="M819" i="1"/>
  <c r="T818" i="1"/>
  <c r="S818" i="1"/>
  <c r="R818" i="1"/>
  <c r="O818" i="1"/>
  <c r="N818" i="1"/>
  <c r="P818" i="1" s="1"/>
  <c r="M818" i="1"/>
  <c r="T817" i="1"/>
  <c r="S817" i="1"/>
  <c r="R817" i="1"/>
  <c r="O817" i="1"/>
  <c r="N817" i="1"/>
  <c r="M817" i="1"/>
  <c r="P817" i="1" s="1"/>
  <c r="T816" i="1"/>
  <c r="S816" i="1"/>
  <c r="R816" i="1"/>
  <c r="P816" i="1"/>
  <c r="O816" i="1"/>
  <c r="N816" i="1"/>
  <c r="M816" i="1"/>
  <c r="T815" i="1"/>
  <c r="S815" i="1"/>
  <c r="R815" i="1"/>
  <c r="O815" i="1"/>
  <c r="N815" i="1"/>
  <c r="M815" i="1"/>
  <c r="T814" i="1"/>
  <c r="S814" i="1"/>
  <c r="R814" i="1"/>
  <c r="O814" i="1"/>
  <c r="N814" i="1"/>
  <c r="M814" i="1"/>
  <c r="P814" i="1" s="1"/>
  <c r="T813" i="1"/>
  <c r="S813" i="1"/>
  <c r="R813" i="1"/>
  <c r="O813" i="1"/>
  <c r="N813" i="1"/>
  <c r="M813" i="1"/>
  <c r="T812" i="1"/>
  <c r="S812" i="1"/>
  <c r="R812" i="1"/>
  <c r="O812" i="1"/>
  <c r="N812" i="1"/>
  <c r="M812" i="1"/>
  <c r="P812" i="1" s="1"/>
  <c r="T811" i="1"/>
  <c r="S811" i="1"/>
  <c r="R811" i="1"/>
  <c r="O811" i="1"/>
  <c r="N811" i="1"/>
  <c r="M811" i="1"/>
  <c r="T810" i="1"/>
  <c r="S810" i="1"/>
  <c r="R810" i="1"/>
  <c r="O810" i="1"/>
  <c r="N810" i="1"/>
  <c r="P810" i="1" s="1"/>
  <c r="M810" i="1"/>
  <c r="T809" i="1"/>
  <c r="S809" i="1"/>
  <c r="R809" i="1"/>
  <c r="O809" i="1"/>
  <c r="N809" i="1"/>
  <c r="M809" i="1"/>
  <c r="T808" i="1"/>
  <c r="S808" i="1"/>
  <c r="R808" i="1"/>
  <c r="O808" i="1"/>
  <c r="N808" i="1"/>
  <c r="M808" i="1"/>
  <c r="P808" i="1" s="1"/>
  <c r="T807" i="1"/>
  <c r="S807" i="1"/>
  <c r="R807" i="1"/>
  <c r="O807" i="1"/>
  <c r="N807" i="1"/>
  <c r="M807" i="1"/>
  <c r="T806" i="1"/>
  <c r="S806" i="1"/>
  <c r="R806" i="1"/>
  <c r="O806" i="1"/>
  <c r="N806" i="1"/>
  <c r="P806" i="1" s="1"/>
  <c r="M806" i="1"/>
  <c r="T805" i="1"/>
  <c r="S805" i="1"/>
  <c r="R805" i="1"/>
  <c r="O805" i="1"/>
  <c r="N805" i="1"/>
  <c r="M805" i="1"/>
  <c r="T804" i="1"/>
  <c r="S804" i="1"/>
  <c r="R804" i="1"/>
  <c r="O804" i="1"/>
  <c r="P804" i="1" s="1"/>
  <c r="N804" i="1"/>
  <c r="M804" i="1"/>
  <c r="T803" i="1"/>
  <c r="S803" i="1"/>
  <c r="R803" i="1"/>
  <c r="O803" i="1"/>
  <c r="N803" i="1"/>
  <c r="M803" i="1"/>
  <c r="T802" i="1"/>
  <c r="S802" i="1"/>
  <c r="R802" i="1"/>
  <c r="O802" i="1"/>
  <c r="N802" i="1"/>
  <c r="M802" i="1"/>
  <c r="T801" i="1"/>
  <c r="S801" i="1"/>
  <c r="R801" i="1"/>
  <c r="O801" i="1"/>
  <c r="N801" i="1"/>
  <c r="P801" i="1" s="1"/>
  <c r="M801" i="1"/>
  <c r="T800" i="1"/>
  <c r="S800" i="1"/>
  <c r="R800" i="1"/>
  <c r="O800" i="1"/>
  <c r="N800" i="1"/>
  <c r="M800" i="1"/>
  <c r="P800" i="1" s="1"/>
  <c r="T799" i="1"/>
  <c r="S799" i="1"/>
  <c r="R799" i="1"/>
  <c r="O799" i="1"/>
  <c r="N799" i="1"/>
  <c r="M799" i="1"/>
  <c r="T798" i="1"/>
  <c r="S798" i="1"/>
  <c r="R798" i="1"/>
  <c r="O798" i="1"/>
  <c r="N798" i="1"/>
  <c r="M798" i="1"/>
  <c r="P798" i="1" s="1"/>
  <c r="T797" i="1"/>
  <c r="S797" i="1"/>
  <c r="R797" i="1"/>
  <c r="O797" i="1"/>
  <c r="N797" i="1"/>
  <c r="M797" i="1"/>
  <c r="T796" i="1"/>
  <c r="S796" i="1"/>
  <c r="R796" i="1"/>
  <c r="O796" i="1"/>
  <c r="N796" i="1"/>
  <c r="P796" i="1" s="1"/>
  <c r="M796" i="1"/>
  <c r="T795" i="1"/>
  <c r="S795" i="1"/>
  <c r="R795" i="1"/>
  <c r="O795" i="1"/>
  <c r="N795" i="1"/>
  <c r="M795" i="1"/>
  <c r="P795" i="1" s="1"/>
  <c r="T794" i="1"/>
  <c r="S794" i="1"/>
  <c r="R794" i="1"/>
  <c r="O794" i="1"/>
  <c r="N794" i="1"/>
  <c r="P794" i="1" s="1"/>
  <c r="M794" i="1"/>
  <c r="T793" i="1"/>
  <c r="S793" i="1"/>
  <c r="R793" i="1"/>
  <c r="O793" i="1"/>
  <c r="N793" i="1"/>
  <c r="M793" i="1"/>
  <c r="P793" i="1" s="1"/>
  <c r="T792" i="1"/>
  <c r="S792" i="1"/>
  <c r="R792" i="1"/>
  <c r="O792" i="1"/>
  <c r="P792" i="1" s="1"/>
  <c r="N792" i="1"/>
  <c r="M792" i="1"/>
  <c r="T791" i="1"/>
  <c r="S791" i="1"/>
  <c r="R791" i="1"/>
  <c r="O791" i="1"/>
  <c r="N791" i="1"/>
  <c r="M791" i="1"/>
  <c r="T790" i="1"/>
  <c r="S790" i="1"/>
  <c r="R790" i="1"/>
  <c r="O790" i="1"/>
  <c r="N790" i="1"/>
  <c r="M790" i="1"/>
  <c r="T789" i="1"/>
  <c r="S789" i="1"/>
  <c r="R789" i="1"/>
  <c r="O789" i="1"/>
  <c r="N789" i="1"/>
  <c r="M789" i="1"/>
  <c r="T788" i="1"/>
  <c r="S788" i="1"/>
  <c r="R788" i="1"/>
  <c r="P788" i="1"/>
  <c r="O788" i="1"/>
  <c r="N788" i="1"/>
  <c r="M788" i="1"/>
  <c r="T787" i="1"/>
  <c r="S787" i="1"/>
  <c r="R787" i="1"/>
  <c r="O787" i="1"/>
  <c r="N787" i="1"/>
  <c r="M787" i="1"/>
  <c r="T786" i="1"/>
  <c r="S786" i="1"/>
  <c r="R786" i="1"/>
  <c r="O786" i="1"/>
  <c r="N786" i="1"/>
  <c r="M786" i="1"/>
  <c r="T785" i="1"/>
  <c r="S785" i="1"/>
  <c r="R785" i="1"/>
  <c r="O785" i="1"/>
  <c r="N785" i="1"/>
  <c r="M785" i="1"/>
  <c r="T784" i="1"/>
  <c r="S784" i="1"/>
  <c r="R784" i="1"/>
  <c r="O784" i="1"/>
  <c r="N784" i="1"/>
  <c r="M784" i="1"/>
  <c r="T783" i="1"/>
  <c r="S783" i="1"/>
  <c r="R783" i="1"/>
  <c r="O783" i="1"/>
  <c r="N783" i="1"/>
  <c r="M783" i="1"/>
  <c r="T782" i="1"/>
  <c r="S782" i="1"/>
  <c r="R782" i="1"/>
  <c r="O782" i="1"/>
  <c r="N782" i="1"/>
  <c r="M782" i="1"/>
  <c r="T781" i="1"/>
  <c r="S781" i="1"/>
  <c r="R781" i="1"/>
  <c r="O781" i="1"/>
  <c r="N781" i="1"/>
  <c r="M781" i="1"/>
  <c r="T780" i="1"/>
  <c r="S780" i="1"/>
  <c r="R780" i="1"/>
  <c r="O780" i="1"/>
  <c r="N780" i="1"/>
  <c r="M780" i="1"/>
  <c r="T779" i="1"/>
  <c r="S779" i="1"/>
  <c r="R779" i="1"/>
  <c r="O779" i="1"/>
  <c r="N779" i="1"/>
  <c r="M779" i="1"/>
  <c r="P779" i="1" s="1"/>
  <c r="T778" i="1"/>
  <c r="S778" i="1"/>
  <c r="R778" i="1"/>
  <c r="O778" i="1"/>
  <c r="N778" i="1"/>
  <c r="M778" i="1"/>
  <c r="T777" i="1"/>
  <c r="S777" i="1"/>
  <c r="R777" i="1"/>
  <c r="O777" i="1"/>
  <c r="N777" i="1"/>
  <c r="M777" i="1"/>
  <c r="P777" i="1" s="1"/>
  <c r="T776" i="1"/>
  <c r="S776" i="1"/>
  <c r="R776" i="1"/>
  <c r="O776" i="1"/>
  <c r="P776" i="1" s="1"/>
  <c r="N776" i="1"/>
  <c r="M776" i="1"/>
  <c r="T775" i="1"/>
  <c r="S775" i="1"/>
  <c r="R775" i="1"/>
  <c r="O775" i="1"/>
  <c r="N775" i="1"/>
  <c r="M775" i="1"/>
  <c r="T774" i="1"/>
  <c r="S774" i="1"/>
  <c r="R774" i="1"/>
  <c r="O774" i="1"/>
  <c r="N774" i="1"/>
  <c r="M774" i="1"/>
  <c r="T773" i="1"/>
  <c r="S773" i="1"/>
  <c r="R773" i="1"/>
  <c r="O773" i="1"/>
  <c r="N773" i="1"/>
  <c r="M773" i="1"/>
  <c r="T772" i="1"/>
  <c r="S772" i="1"/>
  <c r="R772" i="1"/>
  <c r="O772" i="1"/>
  <c r="N772" i="1"/>
  <c r="M772" i="1"/>
  <c r="P772" i="1" s="1"/>
  <c r="T771" i="1"/>
  <c r="S771" i="1"/>
  <c r="R771" i="1"/>
  <c r="O771" i="1"/>
  <c r="N771" i="1"/>
  <c r="M771" i="1"/>
  <c r="T770" i="1"/>
  <c r="S770" i="1"/>
  <c r="R770" i="1"/>
  <c r="O770" i="1"/>
  <c r="N770" i="1"/>
  <c r="M770" i="1"/>
  <c r="T769" i="1"/>
  <c r="S769" i="1"/>
  <c r="R769" i="1"/>
  <c r="O769" i="1"/>
  <c r="N769" i="1"/>
  <c r="M769" i="1"/>
  <c r="T768" i="1"/>
  <c r="S768" i="1"/>
  <c r="R768" i="1"/>
  <c r="O768" i="1"/>
  <c r="N768" i="1"/>
  <c r="M768" i="1"/>
  <c r="T767" i="1"/>
  <c r="S767" i="1"/>
  <c r="R767" i="1"/>
  <c r="O767" i="1"/>
  <c r="N767" i="1"/>
  <c r="M767" i="1"/>
  <c r="T766" i="1"/>
  <c r="S766" i="1"/>
  <c r="R766" i="1"/>
  <c r="O766" i="1"/>
  <c r="N766" i="1"/>
  <c r="M766" i="1"/>
  <c r="P766" i="1" s="1"/>
  <c r="T765" i="1"/>
  <c r="S765" i="1"/>
  <c r="R765" i="1"/>
  <c r="O765" i="1"/>
  <c r="N765" i="1"/>
  <c r="M765" i="1"/>
  <c r="T764" i="1"/>
  <c r="S764" i="1"/>
  <c r="R764" i="1"/>
  <c r="O764" i="1"/>
  <c r="N764" i="1"/>
  <c r="P764" i="1" s="1"/>
  <c r="M764" i="1"/>
  <c r="T763" i="1"/>
  <c r="S763" i="1"/>
  <c r="R763" i="1"/>
  <c r="O763" i="1"/>
  <c r="N763" i="1"/>
  <c r="M763" i="1"/>
  <c r="P763" i="1" s="1"/>
  <c r="T762" i="1"/>
  <c r="S762" i="1"/>
  <c r="R762" i="1"/>
  <c r="O762" i="1"/>
  <c r="N762" i="1"/>
  <c r="P762" i="1" s="1"/>
  <c r="M762" i="1"/>
  <c r="T761" i="1"/>
  <c r="S761" i="1"/>
  <c r="R761" i="1"/>
  <c r="O761" i="1"/>
  <c r="N761" i="1"/>
  <c r="M761" i="1"/>
  <c r="P761" i="1" s="1"/>
  <c r="T760" i="1"/>
  <c r="S760" i="1"/>
  <c r="R760" i="1"/>
  <c r="O760" i="1"/>
  <c r="P760" i="1" s="1"/>
  <c r="N760" i="1"/>
  <c r="M760" i="1"/>
  <c r="T759" i="1"/>
  <c r="S759" i="1"/>
  <c r="R759" i="1"/>
  <c r="O759" i="1"/>
  <c r="N759" i="1"/>
  <c r="M759" i="1"/>
  <c r="T758" i="1"/>
  <c r="S758" i="1"/>
  <c r="R758" i="1"/>
  <c r="O758" i="1"/>
  <c r="N758" i="1"/>
  <c r="M758" i="1"/>
  <c r="T757" i="1"/>
  <c r="S757" i="1"/>
  <c r="R757" i="1"/>
  <c r="O757" i="1"/>
  <c r="N757" i="1"/>
  <c r="M757" i="1"/>
  <c r="T756" i="1"/>
  <c r="S756" i="1"/>
  <c r="R756" i="1"/>
  <c r="P756" i="1"/>
  <c r="O756" i="1"/>
  <c r="N756" i="1"/>
  <c r="M756" i="1"/>
  <c r="T755" i="1"/>
  <c r="S755" i="1"/>
  <c r="R755" i="1"/>
  <c r="O755" i="1"/>
  <c r="N755" i="1"/>
  <c r="M755" i="1"/>
  <c r="T754" i="1"/>
  <c r="S754" i="1"/>
  <c r="R754" i="1"/>
  <c r="O754" i="1"/>
  <c r="N754" i="1"/>
  <c r="M754" i="1"/>
  <c r="T753" i="1"/>
  <c r="S753" i="1"/>
  <c r="R753" i="1"/>
  <c r="O753" i="1"/>
  <c r="N753" i="1"/>
  <c r="M753" i="1"/>
  <c r="T752" i="1"/>
  <c r="S752" i="1"/>
  <c r="R752" i="1"/>
  <c r="O752" i="1"/>
  <c r="N752" i="1"/>
  <c r="M752" i="1"/>
  <c r="T751" i="1"/>
  <c r="S751" i="1"/>
  <c r="R751" i="1"/>
  <c r="O751" i="1"/>
  <c r="N751" i="1"/>
  <c r="M751" i="1"/>
  <c r="T750" i="1"/>
  <c r="S750" i="1"/>
  <c r="R750" i="1"/>
  <c r="O750" i="1"/>
  <c r="N750" i="1"/>
  <c r="M750" i="1"/>
  <c r="T749" i="1"/>
  <c r="S749" i="1"/>
  <c r="R749" i="1"/>
  <c r="O749" i="1"/>
  <c r="N749" i="1"/>
  <c r="M749" i="1"/>
  <c r="T748" i="1"/>
  <c r="S748" i="1"/>
  <c r="R748" i="1"/>
  <c r="O748" i="1"/>
  <c r="N748" i="1"/>
  <c r="M748" i="1"/>
  <c r="T747" i="1"/>
  <c r="S747" i="1"/>
  <c r="R747" i="1"/>
  <c r="O747" i="1"/>
  <c r="N747" i="1"/>
  <c r="M747" i="1"/>
  <c r="P747" i="1" s="1"/>
  <c r="T746" i="1"/>
  <c r="S746" i="1"/>
  <c r="R746" i="1"/>
  <c r="O746" i="1"/>
  <c r="N746" i="1"/>
  <c r="M746" i="1"/>
  <c r="T745" i="1"/>
  <c r="S745" i="1"/>
  <c r="R745" i="1"/>
  <c r="O745" i="1"/>
  <c r="N745" i="1"/>
  <c r="M745" i="1"/>
  <c r="P745" i="1" s="1"/>
  <c r="T744" i="1"/>
  <c r="S744" i="1"/>
  <c r="R744" i="1"/>
  <c r="P744" i="1"/>
  <c r="O744" i="1"/>
  <c r="N744" i="1"/>
  <c r="M744" i="1"/>
  <c r="T743" i="1"/>
  <c r="S743" i="1"/>
  <c r="R743" i="1"/>
  <c r="O743" i="1"/>
  <c r="N743" i="1"/>
  <c r="M743" i="1"/>
  <c r="T742" i="1"/>
  <c r="S742" i="1"/>
  <c r="R742" i="1"/>
  <c r="O742" i="1"/>
  <c r="N742" i="1"/>
  <c r="M742" i="1"/>
  <c r="T741" i="1"/>
  <c r="S741" i="1"/>
  <c r="R741" i="1"/>
  <c r="O741" i="1"/>
  <c r="N741" i="1"/>
  <c r="M741" i="1"/>
  <c r="T740" i="1"/>
  <c r="S740" i="1"/>
  <c r="R740" i="1"/>
  <c r="O740" i="1"/>
  <c r="N740" i="1"/>
  <c r="M740" i="1"/>
  <c r="P740" i="1" s="1"/>
  <c r="T739" i="1"/>
  <c r="S739" i="1"/>
  <c r="R739" i="1"/>
  <c r="O739" i="1"/>
  <c r="N739" i="1"/>
  <c r="M739" i="1"/>
  <c r="T738" i="1"/>
  <c r="S738" i="1"/>
  <c r="R738" i="1"/>
  <c r="O738" i="1"/>
  <c r="N738" i="1"/>
  <c r="M738" i="1"/>
  <c r="T737" i="1"/>
  <c r="S737" i="1"/>
  <c r="R737" i="1"/>
  <c r="O737" i="1"/>
  <c r="N737" i="1"/>
  <c r="M737" i="1"/>
  <c r="T736" i="1"/>
  <c r="S736" i="1"/>
  <c r="R736" i="1"/>
  <c r="O736" i="1"/>
  <c r="N736" i="1"/>
  <c r="M736" i="1"/>
  <c r="P736" i="1" s="1"/>
  <c r="T735" i="1"/>
  <c r="S735" i="1"/>
  <c r="R735" i="1"/>
  <c r="O735" i="1"/>
  <c r="N735" i="1"/>
  <c r="M735" i="1"/>
  <c r="T734" i="1"/>
  <c r="S734" i="1"/>
  <c r="R734" i="1"/>
  <c r="O734" i="1"/>
  <c r="N734" i="1"/>
  <c r="M734" i="1"/>
  <c r="T733" i="1"/>
  <c r="S733" i="1"/>
  <c r="R733" i="1"/>
  <c r="O733" i="1"/>
  <c r="N733" i="1"/>
  <c r="M733" i="1"/>
  <c r="T732" i="1"/>
  <c r="S732" i="1"/>
  <c r="R732" i="1"/>
  <c r="O732" i="1"/>
  <c r="N732" i="1"/>
  <c r="P732" i="1" s="1"/>
  <c r="M732" i="1"/>
  <c r="T731" i="1"/>
  <c r="S731" i="1"/>
  <c r="R731" i="1"/>
  <c r="O731" i="1"/>
  <c r="N731" i="1"/>
  <c r="M731" i="1"/>
  <c r="P731" i="1" s="1"/>
  <c r="T730" i="1"/>
  <c r="S730" i="1"/>
  <c r="R730" i="1"/>
  <c r="O730" i="1"/>
  <c r="N730" i="1"/>
  <c r="P730" i="1" s="1"/>
  <c r="M730" i="1"/>
  <c r="T729" i="1"/>
  <c r="S729" i="1"/>
  <c r="R729" i="1"/>
  <c r="O729" i="1"/>
  <c r="N729" i="1"/>
  <c r="M729" i="1"/>
  <c r="P729" i="1" s="1"/>
  <c r="T728" i="1"/>
  <c r="S728" i="1"/>
  <c r="R728" i="1"/>
  <c r="O728" i="1"/>
  <c r="P728" i="1" s="1"/>
  <c r="N728" i="1"/>
  <c r="M728" i="1"/>
  <c r="T727" i="1"/>
  <c r="S727" i="1"/>
  <c r="R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M725" i="1"/>
  <c r="T724" i="1"/>
  <c r="S724" i="1"/>
  <c r="R724" i="1"/>
  <c r="P724" i="1"/>
  <c r="O724" i="1"/>
  <c r="N724" i="1"/>
  <c r="M724" i="1"/>
  <c r="T723" i="1"/>
  <c r="S723" i="1"/>
  <c r="R723" i="1"/>
  <c r="O723" i="1"/>
  <c r="N723" i="1"/>
  <c r="M723" i="1"/>
  <c r="T722" i="1"/>
  <c r="S722" i="1"/>
  <c r="R722" i="1"/>
  <c r="O722" i="1"/>
  <c r="N722" i="1"/>
  <c r="M722" i="1"/>
  <c r="T721" i="1"/>
  <c r="S721" i="1"/>
  <c r="R721" i="1"/>
  <c r="O721" i="1"/>
  <c r="N721" i="1"/>
  <c r="M721" i="1"/>
  <c r="T720" i="1"/>
  <c r="S720" i="1"/>
  <c r="R720" i="1"/>
  <c r="O720" i="1"/>
  <c r="N720" i="1"/>
  <c r="M720" i="1"/>
  <c r="T719" i="1"/>
  <c r="S719" i="1"/>
  <c r="R719" i="1"/>
  <c r="O719" i="1"/>
  <c r="N719" i="1"/>
  <c r="M719" i="1"/>
  <c r="T718" i="1"/>
  <c r="S718" i="1"/>
  <c r="R718" i="1"/>
  <c r="O718" i="1"/>
  <c r="N718" i="1"/>
  <c r="M718" i="1"/>
  <c r="P718" i="1" s="1"/>
  <c r="T717" i="1"/>
  <c r="S717" i="1"/>
  <c r="R717" i="1"/>
  <c r="O717" i="1"/>
  <c r="N717" i="1"/>
  <c r="M717" i="1"/>
  <c r="T716" i="1"/>
  <c r="S716" i="1"/>
  <c r="R716" i="1"/>
  <c r="O716" i="1"/>
  <c r="N716" i="1"/>
  <c r="P716" i="1" s="1"/>
  <c r="M716" i="1"/>
  <c r="T715" i="1"/>
  <c r="S715" i="1"/>
  <c r="R715" i="1"/>
  <c r="O715" i="1"/>
  <c r="N715" i="1"/>
  <c r="M715" i="1"/>
  <c r="T714" i="1"/>
  <c r="S714" i="1"/>
  <c r="R714" i="1"/>
  <c r="O714" i="1"/>
  <c r="N714" i="1"/>
  <c r="M714" i="1"/>
  <c r="T713" i="1"/>
  <c r="S713" i="1"/>
  <c r="R713" i="1"/>
  <c r="O713" i="1"/>
  <c r="N713" i="1"/>
  <c r="M713" i="1"/>
  <c r="T712" i="1"/>
  <c r="S712" i="1"/>
  <c r="R712" i="1"/>
  <c r="O712" i="1"/>
  <c r="N712" i="1"/>
  <c r="M712" i="1"/>
  <c r="T711" i="1"/>
  <c r="S711" i="1"/>
  <c r="R711" i="1"/>
  <c r="O711" i="1"/>
  <c r="N711" i="1"/>
  <c r="M711" i="1"/>
  <c r="T710" i="1"/>
  <c r="S710" i="1"/>
  <c r="R710" i="1"/>
  <c r="O710" i="1"/>
  <c r="N710" i="1"/>
  <c r="M710" i="1"/>
  <c r="T709" i="1"/>
  <c r="S709" i="1"/>
  <c r="R709" i="1"/>
  <c r="O709" i="1"/>
  <c r="N709" i="1"/>
  <c r="M709" i="1"/>
  <c r="T708" i="1"/>
  <c r="S708" i="1"/>
  <c r="R708" i="1"/>
  <c r="P708" i="1"/>
  <c r="O708" i="1"/>
  <c r="N708" i="1"/>
  <c r="M708" i="1"/>
  <c r="T707" i="1"/>
  <c r="S707" i="1"/>
  <c r="R707" i="1"/>
  <c r="O707" i="1"/>
  <c r="N707" i="1"/>
  <c r="M707" i="1"/>
  <c r="T706" i="1"/>
  <c r="S706" i="1"/>
  <c r="R706" i="1"/>
  <c r="O706" i="1"/>
  <c r="N706" i="1"/>
  <c r="M706" i="1"/>
  <c r="T705" i="1"/>
  <c r="S705" i="1"/>
  <c r="R705" i="1"/>
  <c r="O705" i="1"/>
  <c r="N705" i="1"/>
  <c r="M705" i="1"/>
  <c r="T704" i="1"/>
  <c r="S704" i="1"/>
  <c r="R704" i="1"/>
  <c r="O704" i="1"/>
  <c r="N704" i="1"/>
  <c r="M704" i="1"/>
  <c r="P704" i="1" s="1"/>
  <c r="T703" i="1"/>
  <c r="S703" i="1"/>
  <c r="R703" i="1"/>
  <c r="O703" i="1"/>
  <c r="N703" i="1"/>
  <c r="M703" i="1"/>
  <c r="T702" i="1"/>
  <c r="S702" i="1"/>
  <c r="R702" i="1"/>
  <c r="O702" i="1"/>
  <c r="N702" i="1"/>
  <c r="M702" i="1"/>
  <c r="P702" i="1" s="1"/>
  <c r="T701" i="1"/>
  <c r="S701" i="1"/>
  <c r="R701" i="1"/>
  <c r="O701" i="1"/>
  <c r="N701" i="1"/>
  <c r="M701" i="1"/>
  <c r="T700" i="1"/>
  <c r="S700" i="1"/>
  <c r="R700" i="1"/>
  <c r="O700" i="1"/>
  <c r="N700" i="1"/>
  <c r="M700" i="1"/>
  <c r="T699" i="1"/>
  <c r="S699" i="1"/>
  <c r="R699" i="1"/>
  <c r="O699" i="1"/>
  <c r="N699" i="1"/>
  <c r="M699" i="1"/>
  <c r="T698" i="1"/>
  <c r="S698" i="1"/>
  <c r="R698" i="1"/>
  <c r="O698" i="1"/>
  <c r="N698" i="1"/>
  <c r="M698" i="1"/>
  <c r="T697" i="1"/>
  <c r="S697" i="1"/>
  <c r="R697" i="1"/>
  <c r="O697" i="1"/>
  <c r="N697" i="1"/>
  <c r="M697" i="1"/>
  <c r="T696" i="1"/>
  <c r="S696" i="1"/>
  <c r="R696" i="1"/>
  <c r="O696" i="1"/>
  <c r="N696" i="1"/>
  <c r="M696" i="1"/>
  <c r="T695" i="1"/>
  <c r="S695" i="1"/>
  <c r="R695" i="1"/>
  <c r="O695" i="1"/>
  <c r="N695" i="1"/>
  <c r="M695" i="1"/>
  <c r="T694" i="1"/>
  <c r="S694" i="1"/>
  <c r="R694" i="1"/>
  <c r="O694" i="1"/>
  <c r="N694" i="1"/>
  <c r="M694" i="1"/>
  <c r="P694" i="1" s="1"/>
  <c r="T693" i="1"/>
  <c r="S693" i="1"/>
  <c r="R693" i="1"/>
  <c r="O693" i="1"/>
  <c r="N693" i="1"/>
  <c r="M693" i="1"/>
  <c r="T692" i="1"/>
  <c r="S692" i="1"/>
  <c r="R692" i="1"/>
  <c r="O692" i="1"/>
  <c r="N692" i="1"/>
  <c r="P692" i="1" s="1"/>
  <c r="M692" i="1"/>
  <c r="T691" i="1"/>
  <c r="S691" i="1"/>
  <c r="R691" i="1"/>
  <c r="O691" i="1"/>
  <c r="N691" i="1"/>
  <c r="M691" i="1"/>
  <c r="T690" i="1"/>
  <c r="S690" i="1"/>
  <c r="R690" i="1"/>
  <c r="O690" i="1"/>
  <c r="N690" i="1"/>
  <c r="M690" i="1"/>
  <c r="T689" i="1"/>
  <c r="S689" i="1"/>
  <c r="R689" i="1"/>
  <c r="O689" i="1"/>
  <c r="N689" i="1"/>
  <c r="M689" i="1"/>
  <c r="T688" i="1"/>
  <c r="S688" i="1"/>
  <c r="R688" i="1"/>
  <c r="O688" i="1"/>
  <c r="N688" i="1"/>
  <c r="P688" i="1" s="1"/>
  <c r="M688" i="1"/>
  <c r="T687" i="1"/>
  <c r="S687" i="1"/>
  <c r="R687" i="1"/>
  <c r="O687" i="1"/>
  <c r="N687" i="1"/>
  <c r="M687" i="1"/>
  <c r="T686" i="1"/>
  <c r="S686" i="1"/>
  <c r="R686" i="1"/>
  <c r="O686" i="1"/>
  <c r="N686" i="1"/>
  <c r="M686" i="1"/>
  <c r="T685" i="1"/>
  <c r="S685" i="1"/>
  <c r="R685" i="1"/>
  <c r="O685" i="1"/>
  <c r="N685" i="1"/>
  <c r="M685" i="1"/>
  <c r="P685" i="1" s="1"/>
  <c r="T684" i="1"/>
  <c r="S684" i="1"/>
  <c r="R684" i="1"/>
  <c r="O684" i="1"/>
  <c r="N684" i="1"/>
  <c r="P684" i="1" s="1"/>
  <c r="M684" i="1"/>
  <c r="T683" i="1"/>
  <c r="S683" i="1"/>
  <c r="R683" i="1"/>
  <c r="O683" i="1"/>
  <c r="N683" i="1"/>
  <c r="M683" i="1"/>
  <c r="P683" i="1" s="1"/>
  <c r="T682" i="1"/>
  <c r="S682" i="1"/>
  <c r="R682" i="1"/>
  <c r="O682" i="1"/>
  <c r="N682" i="1"/>
  <c r="M682" i="1"/>
  <c r="T681" i="1"/>
  <c r="S681" i="1"/>
  <c r="R681" i="1"/>
  <c r="O681" i="1"/>
  <c r="N681" i="1"/>
  <c r="M681" i="1"/>
  <c r="P681" i="1" s="1"/>
  <c r="T680" i="1"/>
  <c r="S680" i="1"/>
  <c r="R680" i="1"/>
  <c r="O680" i="1"/>
  <c r="P680" i="1" s="1"/>
  <c r="N680" i="1"/>
  <c r="M680" i="1"/>
  <c r="T679" i="1"/>
  <c r="S679" i="1"/>
  <c r="R679" i="1"/>
  <c r="O679" i="1"/>
  <c r="N679" i="1"/>
  <c r="M679" i="1"/>
  <c r="T678" i="1"/>
  <c r="S678" i="1"/>
  <c r="R678" i="1"/>
  <c r="O678" i="1"/>
  <c r="N678" i="1"/>
  <c r="M678" i="1"/>
  <c r="T677" i="1"/>
  <c r="S677" i="1"/>
  <c r="R677" i="1"/>
  <c r="O677" i="1"/>
  <c r="N677" i="1"/>
  <c r="M677" i="1"/>
  <c r="T676" i="1"/>
  <c r="S676" i="1"/>
  <c r="R676" i="1"/>
  <c r="O676" i="1"/>
  <c r="N676" i="1"/>
  <c r="M676" i="1"/>
  <c r="T675" i="1"/>
  <c r="S675" i="1"/>
  <c r="R675" i="1"/>
  <c r="O675" i="1"/>
  <c r="N675" i="1"/>
  <c r="M675" i="1"/>
  <c r="P675" i="1" s="1"/>
  <c r="T674" i="1"/>
  <c r="S674" i="1"/>
  <c r="R674" i="1"/>
  <c r="O674" i="1"/>
  <c r="N674" i="1"/>
  <c r="M674" i="1"/>
  <c r="T673" i="1"/>
  <c r="S673" i="1"/>
  <c r="R673" i="1"/>
  <c r="O673" i="1"/>
  <c r="N673" i="1"/>
  <c r="M673" i="1"/>
  <c r="T672" i="1"/>
  <c r="S672" i="1"/>
  <c r="R672" i="1"/>
  <c r="P672" i="1"/>
  <c r="O672" i="1"/>
  <c r="N672" i="1"/>
  <c r="M672" i="1"/>
  <c r="T671" i="1"/>
  <c r="S671" i="1"/>
  <c r="R671" i="1"/>
  <c r="O671" i="1"/>
  <c r="N671" i="1"/>
  <c r="M671" i="1"/>
  <c r="T670" i="1"/>
  <c r="S670" i="1"/>
  <c r="R670" i="1"/>
  <c r="O670" i="1"/>
  <c r="N670" i="1"/>
  <c r="M670" i="1"/>
  <c r="P670" i="1" s="1"/>
  <c r="T669" i="1"/>
  <c r="S669" i="1"/>
  <c r="R669" i="1"/>
  <c r="O669" i="1"/>
  <c r="N669" i="1"/>
  <c r="M669" i="1"/>
  <c r="T668" i="1"/>
  <c r="S668" i="1"/>
  <c r="R668" i="1"/>
  <c r="O668" i="1"/>
  <c r="N668" i="1"/>
  <c r="M668" i="1"/>
  <c r="T667" i="1"/>
  <c r="S667" i="1"/>
  <c r="R667" i="1"/>
  <c r="O667" i="1"/>
  <c r="N667" i="1"/>
  <c r="M667" i="1"/>
  <c r="T666" i="1"/>
  <c r="S666" i="1"/>
  <c r="R666" i="1"/>
  <c r="O666" i="1"/>
  <c r="N666" i="1"/>
  <c r="M666" i="1"/>
  <c r="T665" i="1"/>
  <c r="S665" i="1"/>
  <c r="R665" i="1"/>
  <c r="O665" i="1"/>
  <c r="N665" i="1"/>
  <c r="M665" i="1"/>
  <c r="T664" i="1"/>
  <c r="S664" i="1"/>
  <c r="R664" i="1"/>
  <c r="O664" i="1"/>
  <c r="N664" i="1"/>
  <c r="M664" i="1"/>
  <c r="P664" i="1" s="1"/>
  <c r="T663" i="1"/>
  <c r="S663" i="1"/>
  <c r="R663" i="1"/>
  <c r="O663" i="1"/>
  <c r="N663" i="1"/>
  <c r="M663" i="1"/>
  <c r="T662" i="1"/>
  <c r="S662" i="1"/>
  <c r="R662" i="1"/>
  <c r="O662" i="1"/>
  <c r="N662" i="1"/>
  <c r="M662" i="1"/>
  <c r="T661" i="1"/>
  <c r="S661" i="1"/>
  <c r="R661" i="1"/>
  <c r="O661" i="1"/>
  <c r="N661" i="1"/>
  <c r="M661" i="1"/>
  <c r="T660" i="1"/>
  <c r="S660" i="1"/>
  <c r="R660" i="1"/>
  <c r="O660" i="1"/>
  <c r="N660" i="1"/>
  <c r="M660" i="1"/>
  <c r="T659" i="1"/>
  <c r="S659" i="1"/>
  <c r="R659" i="1"/>
  <c r="O659" i="1"/>
  <c r="N659" i="1"/>
  <c r="M659" i="1"/>
  <c r="P659" i="1" s="1"/>
  <c r="T658" i="1"/>
  <c r="S658" i="1"/>
  <c r="R658" i="1"/>
  <c r="O658" i="1"/>
  <c r="N658" i="1"/>
  <c r="M658" i="1"/>
  <c r="T657" i="1"/>
  <c r="S657" i="1"/>
  <c r="R657" i="1"/>
  <c r="O657" i="1"/>
  <c r="N657" i="1"/>
  <c r="M657" i="1"/>
  <c r="P657" i="1" s="1"/>
  <c r="T656" i="1"/>
  <c r="S656" i="1"/>
  <c r="R656" i="1"/>
  <c r="P656" i="1"/>
  <c r="O656" i="1"/>
  <c r="N656" i="1"/>
  <c r="M656" i="1"/>
  <c r="T655" i="1"/>
  <c r="S655" i="1"/>
  <c r="R655" i="1"/>
  <c r="O655" i="1"/>
  <c r="N655" i="1"/>
  <c r="M655" i="1"/>
  <c r="T654" i="1"/>
  <c r="S654" i="1"/>
  <c r="R654" i="1"/>
  <c r="O654" i="1"/>
  <c r="N654" i="1"/>
  <c r="M654" i="1"/>
  <c r="T653" i="1"/>
  <c r="S653" i="1"/>
  <c r="R653" i="1"/>
  <c r="O653" i="1"/>
  <c r="N653" i="1"/>
  <c r="M653" i="1"/>
  <c r="T652" i="1"/>
  <c r="S652" i="1"/>
  <c r="R652" i="1"/>
  <c r="O652" i="1"/>
  <c r="N652" i="1"/>
  <c r="M652" i="1"/>
  <c r="T651" i="1"/>
  <c r="S651" i="1"/>
  <c r="R651" i="1"/>
  <c r="O651" i="1"/>
  <c r="N651" i="1"/>
  <c r="M651" i="1"/>
  <c r="T650" i="1"/>
  <c r="S650" i="1"/>
  <c r="R650" i="1"/>
  <c r="O650" i="1"/>
  <c r="N650" i="1"/>
  <c r="M650" i="1"/>
  <c r="T649" i="1"/>
  <c r="S649" i="1"/>
  <c r="R649" i="1"/>
  <c r="O649" i="1"/>
  <c r="N649" i="1"/>
  <c r="M649" i="1"/>
  <c r="T648" i="1"/>
  <c r="S648" i="1"/>
  <c r="R648" i="1"/>
  <c r="O648" i="1"/>
  <c r="N648" i="1"/>
  <c r="M648" i="1"/>
  <c r="P648" i="1" s="1"/>
  <c r="T647" i="1"/>
  <c r="S647" i="1"/>
  <c r="R647" i="1"/>
  <c r="O647" i="1"/>
  <c r="N647" i="1"/>
  <c r="M647" i="1"/>
  <c r="T646" i="1"/>
  <c r="S646" i="1"/>
  <c r="R646" i="1"/>
  <c r="O646" i="1"/>
  <c r="N646" i="1"/>
  <c r="M646" i="1"/>
  <c r="T645" i="1"/>
  <c r="S645" i="1"/>
  <c r="R645" i="1"/>
  <c r="O645" i="1"/>
  <c r="N645" i="1"/>
  <c r="M645" i="1"/>
  <c r="T644" i="1"/>
  <c r="S644" i="1"/>
  <c r="R644" i="1"/>
  <c r="O644" i="1"/>
  <c r="N644" i="1"/>
  <c r="M644" i="1"/>
  <c r="P644" i="1" s="1"/>
  <c r="T643" i="1"/>
  <c r="S643" i="1"/>
  <c r="R643" i="1"/>
  <c r="O643" i="1"/>
  <c r="N643" i="1"/>
  <c r="M643" i="1"/>
  <c r="T642" i="1"/>
  <c r="S642" i="1"/>
  <c r="R642" i="1"/>
  <c r="O642" i="1"/>
  <c r="N642" i="1"/>
  <c r="P642" i="1" s="1"/>
  <c r="M642" i="1"/>
  <c r="T641" i="1"/>
  <c r="S641" i="1"/>
  <c r="R641" i="1"/>
  <c r="O641" i="1"/>
  <c r="N641" i="1"/>
  <c r="M641" i="1"/>
  <c r="T640" i="1"/>
  <c r="S640" i="1"/>
  <c r="R640" i="1"/>
  <c r="O640" i="1"/>
  <c r="N640" i="1"/>
  <c r="M640" i="1"/>
  <c r="T639" i="1"/>
  <c r="S639" i="1"/>
  <c r="R639" i="1"/>
  <c r="O639" i="1"/>
  <c r="N639" i="1"/>
  <c r="M639" i="1"/>
  <c r="T638" i="1"/>
  <c r="S638" i="1"/>
  <c r="R638" i="1"/>
  <c r="O638" i="1"/>
  <c r="N638" i="1"/>
  <c r="M638" i="1"/>
  <c r="T637" i="1"/>
  <c r="S637" i="1"/>
  <c r="R637" i="1"/>
  <c r="O637" i="1"/>
  <c r="N637" i="1"/>
  <c r="M637" i="1"/>
  <c r="T636" i="1"/>
  <c r="S636" i="1"/>
  <c r="R636" i="1"/>
  <c r="O636" i="1"/>
  <c r="N636" i="1"/>
  <c r="M636" i="1"/>
  <c r="T635" i="1"/>
  <c r="S635" i="1"/>
  <c r="R635" i="1"/>
  <c r="O635" i="1"/>
  <c r="N635" i="1"/>
  <c r="M635" i="1"/>
  <c r="P635" i="1" s="1"/>
  <c r="T634" i="1"/>
  <c r="S634" i="1"/>
  <c r="R634" i="1"/>
  <c r="O634" i="1"/>
  <c r="N634" i="1"/>
  <c r="P634" i="1" s="1"/>
  <c r="M634" i="1"/>
  <c r="T633" i="1"/>
  <c r="S633" i="1"/>
  <c r="R633" i="1"/>
  <c r="O633" i="1"/>
  <c r="N633" i="1"/>
  <c r="M633" i="1"/>
  <c r="P633" i="1" s="1"/>
  <c r="T632" i="1"/>
  <c r="S632" i="1"/>
  <c r="R632" i="1"/>
  <c r="P632" i="1"/>
  <c r="O632" i="1"/>
  <c r="N632" i="1"/>
  <c r="M632" i="1"/>
  <c r="T631" i="1"/>
  <c r="S631" i="1"/>
  <c r="R631" i="1"/>
  <c r="O631" i="1"/>
  <c r="N631" i="1"/>
  <c r="M631" i="1"/>
  <c r="T630" i="1"/>
  <c r="S630" i="1"/>
  <c r="R630" i="1"/>
  <c r="O630" i="1"/>
  <c r="N630" i="1"/>
  <c r="M630" i="1"/>
  <c r="T629" i="1"/>
  <c r="S629" i="1"/>
  <c r="R629" i="1"/>
  <c r="O629" i="1"/>
  <c r="N629" i="1"/>
  <c r="M629" i="1"/>
  <c r="T628" i="1"/>
  <c r="S628" i="1"/>
  <c r="R628" i="1"/>
  <c r="O628" i="1"/>
  <c r="N628" i="1"/>
  <c r="M628" i="1"/>
  <c r="T627" i="1"/>
  <c r="S627" i="1"/>
  <c r="R627" i="1"/>
  <c r="O627" i="1"/>
  <c r="N627" i="1"/>
  <c r="M627" i="1"/>
  <c r="T626" i="1"/>
  <c r="S626" i="1"/>
  <c r="R626" i="1"/>
  <c r="O626" i="1"/>
  <c r="N626" i="1"/>
  <c r="M626" i="1"/>
  <c r="T625" i="1"/>
  <c r="S625" i="1"/>
  <c r="R625" i="1"/>
  <c r="O625" i="1"/>
  <c r="N625" i="1"/>
  <c r="M625" i="1"/>
  <c r="P625" i="1" s="1"/>
  <c r="T624" i="1"/>
  <c r="S624" i="1"/>
  <c r="R624" i="1"/>
  <c r="P624" i="1"/>
  <c r="O624" i="1"/>
  <c r="N624" i="1"/>
  <c r="M624" i="1"/>
  <c r="T623" i="1"/>
  <c r="S623" i="1"/>
  <c r="R623" i="1"/>
  <c r="O623" i="1"/>
  <c r="N623" i="1"/>
  <c r="M623" i="1"/>
  <c r="T622" i="1"/>
  <c r="S622" i="1"/>
  <c r="R622" i="1"/>
  <c r="O622" i="1"/>
  <c r="N622" i="1"/>
  <c r="M622" i="1"/>
  <c r="P622" i="1" s="1"/>
  <c r="T621" i="1"/>
  <c r="S621" i="1"/>
  <c r="R621" i="1"/>
  <c r="O621" i="1"/>
  <c r="N621" i="1"/>
  <c r="M621" i="1"/>
  <c r="T620" i="1"/>
  <c r="S620" i="1"/>
  <c r="R620" i="1"/>
  <c r="O620" i="1"/>
  <c r="N620" i="1"/>
  <c r="M620" i="1"/>
  <c r="T619" i="1"/>
  <c r="S619" i="1"/>
  <c r="R619" i="1"/>
  <c r="O619" i="1"/>
  <c r="N619" i="1"/>
  <c r="M619" i="1"/>
  <c r="T618" i="1"/>
  <c r="S618" i="1"/>
  <c r="R618" i="1"/>
  <c r="O618" i="1"/>
  <c r="N618" i="1"/>
  <c r="M618" i="1"/>
  <c r="T617" i="1"/>
  <c r="S617" i="1"/>
  <c r="R617" i="1"/>
  <c r="O617" i="1"/>
  <c r="N617" i="1"/>
  <c r="M617" i="1"/>
  <c r="T616" i="1"/>
  <c r="S616" i="1"/>
  <c r="R616" i="1"/>
  <c r="O616" i="1"/>
  <c r="N616" i="1"/>
  <c r="M616" i="1"/>
  <c r="T615" i="1"/>
  <c r="S615" i="1"/>
  <c r="R615" i="1"/>
  <c r="O615" i="1"/>
  <c r="N615" i="1"/>
  <c r="M615" i="1"/>
  <c r="T614" i="1"/>
  <c r="S614" i="1"/>
  <c r="R614" i="1"/>
  <c r="O614" i="1"/>
  <c r="N614" i="1"/>
  <c r="M614" i="1"/>
  <c r="P614" i="1" s="1"/>
  <c r="T613" i="1"/>
  <c r="S613" i="1"/>
  <c r="R613" i="1"/>
  <c r="O613" i="1"/>
  <c r="N613" i="1"/>
  <c r="M613" i="1"/>
  <c r="T612" i="1"/>
  <c r="S612" i="1"/>
  <c r="R612" i="1"/>
  <c r="O612" i="1"/>
  <c r="N612" i="1"/>
  <c r="P612" i="1" s="1"/>
  <c r="M612" i="1"/>
  <c r="T611" i="1"/>
  <c r="S611" i="1"/>
  <c r="R611" i="1"/>
  <c r="O611" i="1"/>
  <c r="N611" i="1"/>
  <c r="M611" i="1"/>
  <c r="T610" i="1"/>
  <c r="S610" i="1"/>
  <c r="R610" i="1"/>
  <c r="O610" i="1"/>
  <c r="N610" i="1"/>
  <c r="M610" i="1"/>
  <c r="T609" i="1"/>
  <c r="S609" i="1"/>
  <c r="R609" i="1"/>
  <c r="O609" i="1"/>
  <c r="N609" i="1"/>
  <c r="M609" i="1"/>
  <c r="T608" i="1"/>
  <c r="S608" i="1"/>
  <c r="R608" i="1"/>
  <c r="O608" i="1"/>
  <c r="N608" i="1"/>
  <c r="M608" i="1"/>
  <c r="T607" i="1"/>
  <c r="S607" i="1"/>
  <c r="R607" i="1"/>
  <c r="O607" i="1"/>
  <c r="N607" i="1"/>
  <c r="M607" i="1"/>
  <c r="T606" i="1"/>
  <c r="S606" i="1"/>
  <c r="R606" i="1"/>
  <c r="O606" i="1"/>
  <c r="N606" i="1"/>
  <c r="M606" i="1"/>
  <c r="T605" i="1"/>
  <c r="S605" i="1"/>
  <c r="R605" i="1"/>
  <c r="O605" i="1"/>
  <c r="N605" i="1"/>
  <c r="M605" i="1"/>
  <c r="P605" i="1" s="1"/>
  <c r="T604" i="1"/>
  <c r="S604" i="1"/>
  <c r="R604" i="1"/>
  <c r="O604" i="1"/>
  <c r="N604" i="1"/>
  <c r="M604" i="1"/>
  <c r="T603" i="1"/>
  <c r="S603" i="1"/>
  <c r="R603" i="1"/>
  <c r="O603" i="1"/>
  <c r="N603" i="1"/>
  <c r="M603" i="1"/>
  <c r="P603" i="1" s="1"/>
  <c r="T602" i="1"/>
  <c r="S602" i="1"/>
  <c r="R602" i="1"/>
  <c r="P602" i="1"/>
  <c r="O602" i="1"/>
  <c r="N602" i="1"/>
  <c r="M602" i="1"/>
  <c r="T601" i="1"/>
  <c r="S601" i="1"/>
  <c r="R601" i="1"/>
  <c r="O601" i="1"/>
  <c r="N601" i="1"/>
  <c r="M601" i="1"/>
  <c r="T600" i="1"/>
  <c r="S600" i="1"/>
  <c r="R600" i="1"/>
  <c r="O600" i="1"/>
  <c r="N600" i="1"/>
  <c r="M600" i="1"/>
  <c r="T599" i="1"/>
  <c r="S599" i="1"/>
  <c r="R599" i="1"/>
  <c r="O599" i="1"/>
  <c r="N599" i="1"/>
  <c r="M599" i="1"/>
  <c r="T598" i="1"/>
  <c r="S598" i="1"/>
  <c r="R598" i="1"/>
  <c r="O598" i="1"/>
  <c r="N598" i="1"/>
  <c r="M598" i="1"/>
  <c r="T597" i="1"/>
  <c r="S597" i="1"/>
  <c r="R597" i="1"/>
  <c r="O597" i="1"/>
  <c r="N597" i="1"/>
  <c r="M597" i="1"/>
  <c r="T596" i="1"/>
  <c r="S596" i="1"/>
  <c r="R596" i="1"/>
  <c r="O596" i="1"/>
  <c r="N596" i="1"/>
  <c r="M596" i="1"/>
  <c r="P596" i="1" s="1"/>
  <c r="T595" i="1"/>
  <c r="S595" i="1"/>
  <c r="R595" i="1"/>
  <c r="O595" i="1"/>
  <c r="N595" i="1"/>
  <c r="M595" i="1"/>
  <c r="T594" i="1"/>
  <c r="S594" i="1"/>
  <c r="R594" i="1"/>
  <c r="O594" i="1"/>
  <c r="N594" i="1"/>
  <c r="P594" i="1" s="1"/>
  <c r="M594" i="1"/>
  <c r="T593" i="1"/>
  <c r="S593" i="1"/>
  <c r="R593" i="1"/>
  <c r="O593" i="1"/>
  <c r="N593" i="1"/>
  <c r="M593" i="1"/>
  <c r="T592" i="1"/>
  <c r="S592" i="1"/>
  <c r="R592" i="1"/>
  <c r="O592" i="1"/>
  <c r="N592" i="1"/>
  <c r="M592" i="1"/>
  <c r="T591" i="1"/>
  <c r="S591" i="1"/>
  <c r="R591" i="1"/>
  <c r="O591" i="1"/>
  <c r="N591" i="1"/>
  <c r="M591" i="1"/>
  <c r="T590" i="1"/>
  <c r="S590" i="1"/>
  <c r="R590" i="1"/>
  <c r="O590" i="1"/>
  <c r="N590" i="1"/>
  <c r="M590" i="1"/>
  <c r="T589" i="1"/>
  <c r="S589" i="1"/>
  <c r="R589" i="1"/>
  <c r="O589" i="1"/>
  <c r="N589" i="1"/>
  <c r="M589" i="1"/>
  <c r="T588" i="1"/>
  <c r="S588" i="1"/>
  <c r="R588" i="1"/>
  <c r="O588" i="1"/>
  <c r="N588" i="1"/>
  <c r="M588" i="1"/>
  <c r="T587" i="1"/>
  <c r="S587" i="1"/>
  <c r="R587" i="1"/>
  <c r="O587" i="1"/>
  <c r="N587" i="1"/>
  <c r="M587" i="1"/>
  <c r="T586" i="1"/>
  <c r="S586" i="1"/>
  <c r="R586" i="1"/>
  <c r="O586" i="1"/>
  <c r="N586" i="1"/>
  <c r="P586" i="1" s="1"/>
  <c r="M586" i="1"/>
  <c r="T585" i="1"/>
  <c r="S585" i="1"/>
  <c r="R585" i="1"/>
  <c r="O585" i="1"/>
  <c r="N585" i="1"/>
  <c r="M585" i="1"/>
  <c r="T584" i="1"/>
  <c r="S584" i="1"/>
  <c r="R584" i="1"/>
  <c r="O584" i="1"/>
  <c r="P584" i="1" s="1"/>
  <c r="N584" i="1"/>
  <c r="M584" i="1"/>
  <c r="T583" i="1"/>
  <c r="S583" i="1"/>
  <c r="R583" i="1"/>
  <c r="O583" i="1"/>
  <c r="N583" i="1"/>
  <c r="M583" i="1"/>
  <c r="T582" i="1"/>
  <c r="S582" i="1"/>
  <c r="R582" i="1"/>
  <c r="O582" i="1"/>
  <c r="N582" i="1"/>
  <c r="M582" i="1"/>
  <c r="T581" i="1"/>
  <c r="S581" i="1"/>
  <c r="R581" i="1"/>
  <c r="O581" i="1"/>
  <c r="N581" i="1"/>
  <c r="M581" i="1"/>
  <c r="T580" i="1"/>
  <c r="S580" i="1"/>
  <c r="R580" i="1"/>
  <c r="O580" i="1"/>
  <c r="N580" i="1"/>
  <c r="M580" i="1"/>
  <c r="T579" i="1"/>
  <c r="S579" i="1"/>
  <c r="R579" i="1"/>
  <c r="O579" i="1"/>
  <c r="N579" i="1"/>
  <c r="M579" i="1"/>
  <c r="T578" i="1"/>
  <c r="S578" i="1"/>
  <c r="R578" i="1"/>
  <c r="O578" i="1"/>
  <c r="N578" i="1"/>
  <c r="M578" i="1"/>
  <c r="P578" i="1" s="1"/>
  <c r="T577" i="1"/>
  <c r="S577" i="1"/>
  <c r="R577" i="1"/>
  <c r="O577" i="1"/>
  <c r="N577" i="1"/>
  <c r="M577" i="1"/>
  <c r="T576" i="1"/>
  <c r="S576" i="1"/>
  <c r="R576" i="1"/>
  <c r="O576" i="1"/>
  <c r="N576" i="1"/>
  <c r="M576" i="1"/>
  <c r="T575" i="1"/>
  <c r="S575" i="1"/>
  <c r="R575" i="1"/>
  <c r="O575" i="1"/>
  <c r="N575" i="1"/>
  <c r="M575" i="1"/>
  <c r="P575" i="1" s="1"/>
  <c r="T574" i="1"/>
  <c r="S574" i="1"/>
  <c r="R574" i="1"/>
  <c r="O574" i="1"/>
  <c r="N574" i="1"/>
  <c r="P574" i="1" s="1"/>
  <c r="M574" i="1"/>
  <c r="T573" i="1"/>
  <c r="S573" i="1"/>
  <c r="R573" i="1"/>
  <c r="O573" i="1"/>
  <c r="N573" i="1"/>
  <c r="M573" i="1"/>
  <c r="T572" i="1"/>
  <c r="S572" i="1"/>
  <c r="R572" i="1"/>
  <c r="O572" i="1"/>
  <c r="N572" i="1"/>
  <c r="M572" i="1"/>
  <c r="T571" i="1"/>
  <c r="S571" i="1"/>
  <c r="R571" i="1"/>
  <c r="O571" i="1"/>
  <c r="N571" i="1"/>
  <c r="M571" i="1"/>
  <c r="P571" i="1" s="1"/>
  <c r="T570" i="1"/>
  <c r="S570" i="1"/>
  <c r="R570" i="1"/>
  <c r="O570" i="1"/>
  <c r="P570" i="1" s="1"/>
  <c r="N570" i="1"/>
  <c r="M570" i="1"/>
  <c r="T569" i="1"/>
  <c r="S569" i="1"/>
  <c r="R569" i="1"/>
  <c r="O569" i="1"/>
  <c r="P569" i="1" s="1"/>
  <c r="N569" i="1"/>
  <c r="M569" i="1"/>
  <c r="T568" i="1"/>
  <c r="S568" i="1"/>
  <c r="R568" i="1"/>
  <c r="O568" i="1"/>
  <c r="N568" i="1"/>
  <c r="M568" i="1"/>
  <c r="T567" i="1"/>
  <c r="S567" i="1"/>
  <c r="R567" i="1"/>
  <c r="O567" i="1"/>
  <c r="N567" i="1"/>
  <c r="M567" i="1"/>
  <c r="T566" i="1"/>
  <c r="S566" i="1"/>
  <c r="R566" i="1"/>
  <c r="O566" i="1"/>
  <c r="N566" i="1"/>
  <c r="M566" i="1"/>
  <c r="T565" i="1"/>
  <c r="S565" i="1"/>
  <c r="R565" i="1"/>
  <c r="O565" i="1"/>
  <c r="N565" i="1"/>
  <c r="M565" i="1"/>
  <c r="T564" i="1"/>
  <c r="S564" i="1"/>
  <c r="R564" i="1"/>
  <c r="O564" i="1"/>
  <c r="N564" i="1"/>
  <c r="M564" i="1"/>
  <c r="T563" i="1"/>
  <c r="S563" i="1"/>
  <c r="R563" i="1"/>
  <c r="O563" i="1"/>
  <c r="N563" i="1"/>
  <c r="M563" i="1"/>
  <c r="T562" i="1"/>
  <c r="S562" i="1"/>
  <c r="R562" i="1"/>
  <c r="O562" i="1"/>
  <c r="N562" i="1"/>
  <c r="M562" i="1"/>
  <c r="P562" i="1" s="1"/>
  <c r="T561" i="1"/>
  <c r="S561" i="1"/>
  <c r="R561" i="1"/>
  <c r="O561" i="1"/>
  <c r="N561" i="1"/>
  <c r="M561" i="1"/>
  <c r="T560" i="1"/>
  <c r="S560" i="1"/>
  <c r="R560" i="1"/>
  <c r="O560" i="1"/>
  <c r="N560" i="1"/>
  <c r="M560" i="1"/>
  <c r="O559" i="1"/>
  <c r="N559" i="1"/>
  <c r="O558" i="1"/>
  <c r="N558" i="1"/>
  <c r="O557" i="1"/>
  <c r="N557" i="1"/>
  <c r="O556" i="1"/>
  <c r="N556" i="1"/>
  <c r="O555" i="1"/>
  <c r="N555" i="1"/>
  <c r="R554" i="1"/>
  <c r="R555" i="1" s="1"/>
  <c r="R556" i="1" s="1"/>
  <c r="R557" i="1" s="1"/>
  <c r="O554" i="1"/>
  <c r="N554" i="1"/>
  <c r="O553" i="1"/>
  <c r="N553" i="1"/>
  <c r="O552" i="1"/>
  <c r="N552" i="1"/>
  <c r="O551" i="1"/>
  <c r="N551" i="1"/>
  <c r="O550" i="1"/>
  <c r="N550" i="1"/>
  <c r="O549" i="1"/>
  <c r="M550" i="1" s="1"/>
  <c r="P550" i="1" s="1"/>
  <c r="N549" i="1"/>
  <c r="M549" i="1"/>
  <c r="P549" i="1" s="1"/>
  <c r="R548" i="1"/>
  <c r="R549" i="1" s="1"/>
  <c r="R550" i="1" s="1"/>
  <c r="R551" i="1" s="1"/>
  <c r="R552" i="1" s="1"/>
  <c r="O548" i="1"/>
  <c r="N548" i="1"/>
  <c r="O547" i="1"/>
  <c r="N547" i="1"/>
  <c r="O546" i="1"/>
  <c r="N546" i="1"/>
  <c r="M547" i="1" s="1"/>
  <c r="P547" i="1" s="1"/>
  <c r="O545" i="1"/>
  <c r="N545" i="1"/>
  <c r="O544" i="1"/>
  <c r="N544" i="1"/>
  <c r="O543" i="1"/>
  <c r="N543" i="1"/>
  <c r="R542" i="1"/>
  <c r="R543" i="1" s="1"/>
  <c r="R544" i="1" s="1"/>
  <c r="R545" i="1" s="1"/>
  <c r="O542" i="1"/>
  <c r="N542" i="1"/>
  <c r="O541" i="1"/>
  <c r="N541" i="1"/>
  <c r="O540" i="1"/>
  <c r="N540" i="1"/>
  <c r="O539" i="1"/>
  <c r="N539" i="1"/>
  <c r="O538" i="1"/>
  <c r="N538" i="1"/>
  <c r="O537" i="1"/>
  <c r="N537" i="1"/>
  <c r="R536" i="1"/>
  <c r="R537" i="1" s="1"/>
  <c r="O536" i="1"/>
  <c r="N536" i="1"/>
  <c r="O535" i="1"/>
  <c r="N535" i="1"/>
  <c r="O534" i="1"/>
  <c r="M534" i="1" s="1"/>
  <c r="P534" i="1" s="1"/>
  <c r="N534" i="1"/>
  <c r="O533" i="1"/>
  <c r="N533" i="1"/>
  <c r="O532" i="1"/>
  <c r="N532" i="1"/>
  <c r="O531" i="1"/>
  <c r="N531" i="1"/>
  <c r="R530" i="1"/>
  <c r="O530" i="1"/>
  <c r="N530" i="1"/>
  <c r="O529" i="1"/>
  <c r="M529" i="1" s="1"/>
  <c r="P529" i="1" s="1"/>
  <c r="N529" i="1"/>
  <c r="O528" i="1"/>
  <c r="N528" i="1"/>
  <c r="O527" i="1"/>
  <c r="M527" i="1" s="1"/>
  <c r="P527" i="1" s="1"/>
  <c r="N527" i="1"/>
  <c r="P526" i="1"/>
  <c r="O526" i="1"/>
  <c r="M526" i="1" s="1"/>
  <c r="N526" i="1"/>
  <c r="R525" i="1"/>
  <c r="O525" i="1"/>
  <c r="N525" i="1"/>
  <c r="R524" i="1"/>
  <c r="O524" i="1"/>
  <c r="N524" i="1"/>
  <c r="O523" i="1"/>
  <c r="M523" i="1" s="1"/>
  <c r="P523" i="1" s="1"/>
  <c r="N523" i="1"/>
  <c r="O522" i="1"/>
  <c r="M522" i="1" s="1"/>
  <c r="P522" i="1" s="1"/>
  <c r="N522" i="1"/>
  <c r="O521" i="1"/>
  <c r="N521" i="1"/>
  <c r="O520" i="1"/>
  <c r="N520" i="1"/>
  <c r="O519" i="1"/>
  <c r="N519" i="1"/>
  <c r="M519" i="1"/>
  <c r="P519" i="1" s="1"/>
  <c r="R518" i="1"/>
  <c r="R519" i="1" s="1"/>
  <c r="R520" i="1" s="1"/>
  <c r="R521" i="1" s="1"/>
  <c r="O518" i="1"/>
  <c r="N518" i="1"/>
  <c r="O517" i="1"/>
  <c r="N517" i="1"/>
  <c r="O516" i="1"/>
  <c r="N516" i="1"/>
  <c r="O515" i="1"/>
  <c r="M515" i="1" s="1"/>
  <c r="P515" i="1" s="1"/>
  <c r="N515" i="1"/>
  <c r="O514" i="1"/>
  <c r="N514" i="1"/>
  <c r="O513" i="1"/>
  <c r="N513" i="1"/>
  <c r="R512" i="1"/>
  <c r="R513" i="1" s="1"/>
  <c r="R514" i="1" s="1"/>
  <c r="R515" i="1" s="1"/>
  <c r="O512" i="1"/>
  <c r="N512" i="1"/>
  <c r="O511" i="1"/>
  <c r="N511" i="1"/>
  <c r="O510" i="1"/>
  <c r="N510" i="1"/>
  <c r="O509" i="1"/>
  <c r="N509" i="1"/>
  <c r="O508" i="1"/>
  <c r="N508" i="1"/>
  <c r="O507" i="1"/>
  <c r="N507" i="1"/>
  <c r="R506" i="1"/>
  <c r="O506" i="1"/>
  <c r="N506" i="1"/>
  <c r="O505" i="1"/>
  <c r="M505" i="1" s="1"/>
  <c r="P505" i="1" s="1"/>
  <c r="N505" i="1"/>
  <c r="O504" i="1"/>
  <c r="N504" i="1"/>
  <c r="O503" i="1"/>
  <c r="N503" i="1"/>
  <c r="O502" i="1"/>
  <c r="N502" i="1"/>
  <c r="R501" i="1"/>
  <c r="R502" i="1" s="1"/>
  <c r="O501" i="1"/>
  <c r="N501" i="1"/>
  <c r="R500" i="1"/>
  <c r="O500" i="1"/>
  <c r="M501" i="1" s="1"/>
  <c r="P501" i="1" s="1"/>
  <c r="N500" i="1"/>
  <c r="O499" i="1"/>
  <c r="N499" i="1"/>
  <c r="O498" i="1"/>
  <c r="N498" i="1"/>
  <c r="O497" i="1"/>
  <c r="M497" i="1" s="1"/>
  <c r="P497" i="1" s="1"/>
  <c r="N497" i="1"/>
  <c r="R496" i="1"/>
  <c r="R497" i="1" s="1"/>
  <c r="R498" i="1" s="1"/>
  <c r="O496" i="1"/>
  <c r="N496" i="1"/>
  <c r="O495" i="1"/>
  <c r="N495" i="1"/>
  <c r="O494" i="1"/>
  <c r="N494" i="1"/>
  <c r="O493" i="1"/>
  <c r="N493" i="1"/>
  <c r="M493" i="1" s="1"/>
  <c r="P493" i="1" s="1"/>
  <c r="O492" i="1"/>
  <c r="N492" i="1"/>
  <c r="O491" i="1"/>
  <c r="M491" i="1" s="1"/>
  <c r="P491" i="1" s="1"/>
  <c r="N491" i="1"/>
  <c r="R490" i="1"/>
  <c r="R491" i="1" s="1"/>
  <c r="R492" i="1" s="1"/>
  <c r="O490" i="1"/>
  <c r="N490" i="1"/>
  <c r="O489" i="1"/>
  <c r="N489" i="1"/>
  <c r="O488" i="1"/>
  <c r="N488" i="1"/>
  <c r="O487" i="1"/>
  <c r="M487" i="1" s="1"/>
  <c r="P487" i="1" s="1"/>
  <c r="N487" i="1"/>
  <c r="R486" i="1"/>
  <c r="R487" i="1" s="1"/>
  <c r="R488" i="1" s="1"/>
  <c r="O486" i="1"/>
  <c r="N486" i="1"/>
  <c r="O485" i="1"/>
  <c r="N485" i="1"/>
  <c r="O484" i="1"/>
  <c r="N484" i="1"/>
  <c r="O483" i="1"/>
  <c r="N483" i="1"/>
  <c r="O482" i="1"/>
  <c r="N482" i="1"/>
  <c r="O481" i="1"/>
  <c r="N481" i="1"/>
  <c r="R480" i="1"/>
  <c r="R481" i="1" s="1"/>
  <c r="R482" i="1" s="1"/>
  <c r="R483" i="1" s="1"/>
  <c r="O480" i="1"/>
  <c r="N480" i="1"/>
  <c r="O479" i="1"/>
  <c r="M479" i="1" s="1"/>
  <c r="P479" i="1" s="1"/>
  <c r="N479" i="1"/>
  <c r="O478" i="1"/>
  <c r="N478" i="1"/>
  <c r="O477" i="1"/>
  <c r="N477" i="1"/>
  <c r="O476" i="1"/>
  <c r="N476" i="1"/>
  <c r="O475" i="1"/>
  <c r="N475" i="1"/>
  <c r="R474" i="1"/>
  <c r="R475" i="1" s="1"/>
  <c r="O474" i="1"/>
  <c r="N474" i="1"/>
  <c r="O473" i="1"/>
  <c r="M473" i="1" s="1"/>
  <c r="P473" i="1" s="1"/>
  <c r="N473" i="1"/>
  <c r="O472" i="1"/>
  <c r="N472" i="1"/>
  <c r="O471" i="1"/>
  <c r="N471" i="1"/>
  <c r="O470" i="1"/>
  <c r="N470" i="1"/>
  <c r="R469" i="1"/>
  <c r="R470" i="1" s="1"/>
  <c r="R471" i="1" s="1"/>
  <c r="O469" i="1"/>
  <c r="N469" i="1"/>
  <c r="R468" i="1"/>
  <c r="O468" i="1"/>
  <c r="M469" i="1" s="1"/>
  <c r="P469" i="1" s="1"/>
  <c r="N468" i="1"/>
  <c r="O467" i="1"/>
  <c r="N467" i="1"/>
  <c r="O466" i="1"/>
  <c r="N466" i="1"/>
  <c r="O465" i="1"/>
  <c r="N465" i="1"/>
  <c r="O464" i="1"/>
  <c r="N464" i="1"/>
  <c r="O463" i="1"/>
  <c r="N463" i="1"/>
  <c r="R462" i="1"/>
  <c r="R463" i="1" s="1"/>
  <c r="O462" i="1"/>
  <c r="M462" i="1" s="1"/>
  <c r="P462" i="1" s="1"/>
  <c r="N462" i="1"/>
  <c r="O461" i="1"/>
  <c r="N461" i="1"/>
  <c r="O460" i="1"/>
  <c r="N460" i="1"/>
  <c r="O459" i="1"/>
  <c r="N459" i="1"/>
  <c r="O458" i="1"/>
  <c r="N458" i="1"/>
  <c r="M458" i="1"/>
  <c r="P458" i="1" s="1"/>
  <c r="R457" i="1"/>
  <c r="O457" i="1"/>
  <c r="N457" i="1"/>
  <c r="R456" i="1"/>
  <c r="O456" i="1"/>
  <c r="N456" i="1"/>
  <c r="O455" i="1"/>
  <c r="N455" i="1"/>
  <c r="O454" i="1"/>
  <c r="N454" i="1"/>
  <c r="O453" i="1"/>
  <c r="M453" i="1" s="1"/>
  <c r="P453" i="1" s="1"/>
  <c r="N453" i="1"/>
  <c r="O452" i="1"/>
  <c r="N452" i="1"/>
  <c r="O451" i="1"/>
  <c r="N451" i="1"/>
  <c r="R450" i="1"/>
  <c r="R451" i="1" s="1"/>
  <c r="R452" i="1" s="1"/>
  <c r="O450" i="1"/>
  <c r="N450" i="1"/>
  <c r="O449" i="1"/>
  <c r="N449" i="1"/>
  <c r="O448" i="1"/>
  <c r="N448" i="1"/>
  <c r="O447" i="1"/>
  <c r="M447" i="1" s="1"/>
  <c r="P447" i="1" s="1"/>
  <c r="N447" i="1"/>
  <c r="O446" i="1"/>
  <c r="M446" i="1" s="1"/>
  <c r="P446" i="1" s="1"/>
  <c r="N446" i="1"/>
  <c r="O445" i="1"/>
  <c r="N445" i="1"/>
  <c r="R444" i="1"/>
  <c r="R445" i="1" s="1"/>
  <c r="O444" i="1"/>
  <c r="N444" i="1"/>
  <c r="O443" i="1"/>
  <c r="N443" i="1"/>
  <c r="O442" i="1"/>
  <c r="N442" i="1"/>
  <c r="O441" i="1"/>
  <c r="M441" i="1" s="1"/>
  <c r="P441" i="1" s="1"/>
  <c r="N441" i="1"/>
  <c r="O440" i="1"/>
  <c r="N440" i="1"/>
  <c r="O439" i="1"/>
  <c r="N439" i="1"/>
  <c r="R438" i="1"/>
  <c r="R439" i="1" s="1"/>
  <c r="O438" i="1"/>
  <c r="N438" i="1"/>
  <c r="O437" i="1"/>
  <c r="N437" i="1"/>
  <c r="O436" i="1"/>
  <c r="N436" i="1"/>
  <c r="O435" i="1"/>
  <c r="N435" i="1"/>
  <c r="R434" i="1"/>
  <c r="R435" i="1" s="1"/>
  <c r="R436" i="1" s="1"/>
  <c r="O434" i="1"/>
  <c r="N434" i="1"/>
  <c r="R433" i="1"/>
  <c r="O433" i="1"/>
  <c r="N433" i="1"/>
  <c r="R432" i="1"/>
  <c r="O432" i="1"/>
  <c r="M433" i="1" s="1"/>
  <c r="P433" i="1" s="1"/>
  <c r="N432" i="1"/>
  <c r="O431" i="1"/>
  <c r="M431" i="1" s="1"/>
  <c r="P431" i="1" s="1"/>
  <c r="N431" i="1"/>
  <c r="O430" i="1"/>
  <c r="N430" i="1"/>
  <c r="O429" i="1"/>
  <c r="N429" i="1"/>
  <c r="O428" i="1"/>
  <c r="N428" i="1"/>
  <c r="O427" i="1"/>
  <c r="N427" i="1"/>
  <c r="R426" i="1"/>
  <c r="R427" i="1" s="1"/>
  <c r="R428" i="1" s="1"/>
  <c r="R429" i="1" s="1"/>
  <c r="R430" i="1" s="1"/>
  <c r="O426" i="1"/>
  <c r="M426" i="1" s="1"/>
  <c r="P426" i="1" s="1"/>
  <c r="N426" i="1"/>
  <c r="O425" i="1"/>
  <c r="N425" i="1"/>
  <c r="O424" i="1"/>
  <c r="N424" i="1"/>
  <c r="O423" i="1"/>
  <c r="N423" i="1"/>
  <c r="O422" i="1"/>
  <c r="N422" i="1"/>
  <c r="R421" i="1"/>
  <c r="R422" i="1" s="1"/>
  <c r="R423" i="1" s="1"/>
  <c r="O421" i="1"/>
  <c r="N421" i="1"/>
  <c r="R420" i="1"/>
  <c r="O420" i="1"/>
  <c r="N420" i="1"/>
  <c r="O419" i="1"/>
  <c r="N419" i="1"/>
  <c r="O418" i="1"/>
  <c r="N418" i="1"/>
  <c r="O417" i="1"/>
  <c r="N417" i="1"/>
  <c r="O416" i="1"/>
  <c r="N416" i="1"/>
  <c r="M416" i="1" s="1"/>
  <c r="P416" i="1" s="1"/>
  <c r="O415" i="1"/>
  <c r="N415" i="1"/>
  <c r="R414" i="1"/>
  <c r="R415" i="1" s="1"/>
  <c r="O414" i="1"/>
  <c r="N414" i="1"/>
  <c r="O413" i="1"/>
  <c r="M413" i="1" s="1"/>
  <c r="P413" i="1" s="1"/>
  <c r="N413" i="1"/>
  <c r="O412" i="1"/>
  <c r="N412" i="1"/>
  <c r="O411" i="1"/>
  <c r="N411" i="1"/>
  <c r="O410" i="1"/>
  <c r="N410" i="1"/>
  <c r="O409" i="1"/>
  <c r="N409" i="1"/>
  <c r="R408" i="1"/>
  <c r="R409" i="1" s="1"/>
  <c r="R410" i="1" s="1"/>
  <c r="O408" i="1"/>
  <c r="M408" i="1" s="1"/>
  <c r="P408" i="1" s="1"/>
  <c r="N408" i="1"/>
  <c r="O407" i="1"/>
  <c r="N407" i="1"/>
  <c r="O406" i="1"/>
  <c r="M406" i="1" s="1"/>
  <c r="P406" i="1" s="1"/>
  <c r="N406" i="1"/>
  <c r="O405" i="1"/>
  <c r="N405" i="1"/>
  <c r="O404" i="1"/>
  <c r="N404" i="1"/>
  <c r="O403" i="1"/>
  <c r="N403" i="1"/>
  <c r="R402" i="1"/>
  <c r="R403" i="1" s="1"/>
  <c r="O402" i="1"/>
  <c r="N402" i="1"/>
  <c r="O401" i="1"/>
  <c r="M401" i="1" s="1"/>
  <c r="P401" i="1" s="1"/>
  <c r="N401" i="1"/>
  <c r="O400" i="1"/>
  <c r="N400" i="1"/>
  <c r="P399" i="1"/>
  <c r="O399" i="1"/>
  <c r="M399" i="1" s="1"/>
  <c r="N399" i="1"/>
  <c r="O398" i="1"/>
  <c r="M398" i="1" s="1"/>
  <c r="P398" i="1" s="1"/>
  <c r="N398" i="1"/>
  <c r="O397" i="1"/>
  <c r="N397" i="1"/>
  <c r="R396" i="1"/>
  <c r="R397" i="1" s="1"/>
  <c r="O396" i="1"/>
  <c r="M396" i="1" s="1"/>
  <c r="P396" i="1" s="1"/>
  <c r="N396" i="1"/>
  <c r="O395" i="1"/>
  <c r="N395" i="1"/>
  <c r="O394" i="1"/>
  <c r="N394" i="1"/>
  <c r="O393" i="1"/>
  <c r="N393" i="1"/>
  <c r="O392" i="1"/>
  <c r="N392" i="1"/>
  <c r="O391" i="1"/>
  <c r="N391" i="1"/>
  <c r="R390" i="1"/>
  <c r="R391" i="1" s="1"/>
  <c r="O390" i="1"/>
  <c r="N390" i="1"/>
  <c r="O389" i="1"/>
  <c r="N389" i="1"/>
  <c r="O388" i="1"/>
  <c r="N388" i="1"/>
  <c r="O387" i="1"/>
  <c r="N387" i="1"/>
  <c r="O386" i="1"/>
  <c r="N386" i="1"/>
  <c r="M386" i="1" s="1"/>
  <c r="P386" i="1" s="1"/>
  <c r="O385" i="1"/>
  <c r="M385" i="1" s="1"/>
  <c r="P385" i="1" s="1"/>
  <c r="N385" i="1"/>
  <c r="R384" i="1"/>
  <c r="R385" i="1" s="1"/>
  <c r="R386" i="1" s="1"/>
  <c r="O384" i="1"/>
  <c r="N384" i="1"/>
  <c r="O383" i="1"/>
  <c r="N383" i="1"/>
  <c r="O382" i="1"/>
  <c r="N382" i="1"/>
  <c r="R381" i="1"/>
  <c r="O381" i="1"/>
  <c r="N381" i="1"/>
  <c r="R380" i="1"/>
  <c r="O380" i="1"/>
  <c r="N380" i="1"/>
  <c r="O379" i="1"/>
  <c r="N379" i="1"/>
  <c r="M379" i="1" s="1"/>
  <c r="P379" i="1" s="1"/>
  <c r="O378" i="1"/>
  <c r="N378" i="1"/>
  <c r="O377" i="1"/>
  <c r="N377" i="1"/>
  <c r="O376" i="1"/>
  <c r="N376" i="1"/>
  <c r="O375" i="1"/>
  <c r="N375" i="1"/>
  <c r="R374" i="1"/>
  <c r="O374" i="1"/>
  <c r="N374" i="1"/>
  <c r="O373" i="1"/>
  <c r="N373" i="1"/>
  <c r="M373" i="1" s="1"/>
  <c r="P373" i="1" s="1"/>
  <c r="O372" i="1"/>
  <c r="M372" i="1" s="1"/>
  <c r="P372" i="1" s="1"/>
  <c r="N372" i="1"/>
  <c r="O371" i="1"/>
  <c r="N371" i="1"/>
  <c r="O370" i="1"/>
  <c r="N370" i="1"/>
  <c r="R369" i="1"/>
  <c r="R370" i="1" s="1"/>
  <c r="R371" i="1" s="1"/>
  <c r="R372" i="1" s="1"/>
  <c r="O369" i="1"/>
  <c r="N369" i="1"/>
  <c r="R368" i="1"/>
  <c r="O368" i="1"/>
  <c r="M369" i="1" s="1"/>
  <c r="P369" i="1" s="1"/>
  <c r="N368" i="1"/>
  <c r="O367" i="1"/>
  <c r="M367" i="1" s="1"/>
  <c r="P367" i="1" s="1"/>
  <c r="N367" i="1"/>
  <c r="O366" i="1"/>
  <c r="N366" i="1"/>
  <c r="O365" i="1"/>
  <c r="N365" i="1"/>
  <c r="O364" i="1"/>
  <c r="N364" i="1"/>
  <c r="M364" i="1"/>
  <c r="P364" i="1" s="1"/>
  <c r="O363" i="1"/>
  <c r="N363" i="1"/>
  <c r="R362" i="1"/>
  <c r="R363" i="1" s="1"/>
  <c r="O362" i="1"/>
  <c r="N362" i="1"/>
  <c r="O361" i="1"/>
  <c r="N361" i="1"/>
  <c r="O360" i="1"/>
  <c r="N360" i="1"/>
  <c r="O359" i="1"/>
  <c r="N359" i="1"/>
  <c r="O358" i="1"/>
  <c r="N358" i="1"/>
  <c r="O357" i="1"/>
  <c r="N357" i="1"/>
  <c r="R356" i="1"/>
  <c r="R357" i="1" s="1"/>
  <c r="R358" i="1" s="1"/>
  <c r="O356" i="1"/>
  <c r="N356" i="1"/>
  <c r="O355" i="1"/>
  <c r="N355" i="1"/>
  <c r="O354" i="1"/>
  <c r="N354" i="1"/>
  <c r="O353" i="1"/>
  <c r="N353" i="1"/>
  <c r="O352" i="1"/>
  <c r="N352" i="1"/>
  <c r="R351" i="1"/>
  <c r="O351" i="1"/>
  <c r="N351" i="1"/>
  <c r="R350" i="1"/>
  <c r="O350" i="1"/>
  <c r="N350" i="1"/>
  <c r="O349" i="1"/>
  <c r="N349" i="1"/>
  <c r="O348" i="1"/>
  <c r="M349" i="1" s="1"/>
  <c r="P349" i="1" s="1"/>
  <c r="N348" i="1"/>
  <c r="O347" i="1"/>
  <c r="N347" i="1"/>
  <c r="R346" i="1"/>
  <c r="R347" i="1" s="1"/>
  <c r="R348" i="1" s="1"/>
  <c r="O346" i="1"/>
  <c r="N346" i="1"/>
  <c r="O345" i="1"/>
  <c r="N345" i="1"/>
  <c r="O344" i="1"/>
  <c r="N344" i="1"/>
  <c r="O343" i="1"/>
  <c r="N343" i="1"/>
  <c r="O342" i="1"/>
  <c r="N342" i="1"/>
  <c r="O341" i="1"/>
  <c r="N341" i="1"/>
  <c r="R340" i="1"/>
  <c r="R341" i="1" s="1"/>
  <c r="R342" i="1" s="1"/>
  <c r="R343" i="1" s="1"/>
  <c r="O340" i="1"/>
  <c r="N340" i="1"/>
  <c r="O339" i="1"/>
  <c r="N339" i="1"/>
  <c r="O338" i="1"/>
  <c r="N338" i="1"/>
  <c r="O337" i="1"/>
  <c r="N337" i="1"/>
  <c r="M337" i="1" s="1"/>
  <c r="P337" i="1" s="1"/>
  <c r="O336" i="1"/>
  <c r="N336" i="1"/>
  <c r="O335" i="1"/>
  <c r="N335" i="1"/>
  <c r="R334" i="1"/>
  <c r="O334" i="1"/>
  <c r="N334" i="1"/>
  <c r="O333" i="1"/>
  <c r="N333" i="1"/>
  <c r="O332" i="1"/>
  <c r="N332" i="1"/>
  <c r="O331" i="1"/>
  <c r="M332" i="1" s="1"/>
  <c r="P332" i="1" s="1"/>
  <c r="N331" i="1"/>
  <c r="O330" i="1"/>
  <c r="N330" i="1"/>
  <c r="M330" i="1" s="1"/>
  <c r="P330" i="1" s="1"/>
  <c r="O329" i="1"/>
  <c r="N329" i="1"/>
  <c r="M329" i="1" s="1"/>
  <c r="P329" i="1" s="1"/>
  <c r="R328" i="1"/>
  <c r="O328" i="1"/>
  <c r="N328" i="1"/>
  <c r="O327" i="1"/>
  <c r="N327" i="1"/>
  <c r="O326" i="1"/>
  <c r="N326" i="1"/>
  <c r="O325" i="1"/>
  <c r="N325" i="1"/>
  <c r="O324" i="1"/>
  <c r="N324" i="1"/>
  <c r="O323" i="1"/>
  <c r="N323" i="1"/>
  <c r="R322" i="1"/>
  <c r="R323" i="1" s="1"/>
  <c r="O322" i="1"/>
  <c r="N322" i="1"/>
  <c r="O321" i="1"/>
  <c r="N321" i="1"/>
  <c r="O320" i="1"/>
  <c r="N320" i="1"/>
  <c r="O319" i="1"/>
  <c r="M319" i="1" s="1"/>
  <c r="P319" i="1" s="1"/>
  <c r="N319" i="1"/>
  <c r="O318" i="1"/>
  <c r="N318" i="1"/>
  <c r="O317" i="1"/>
  <c r="N317" i="1"/>
  <c r="R316" i="1"/>
  <c r="O316" i="1"/>
  <c r="M317" i="1" s="1"/>
  <c r="P317" i="1" s="1"/>
  <c r="N316" i="1"/>
  <c r="O315" i="1"/>
  <c r="N315" i="1"/>
  <c r="O314" i="1"/>
  <c r="M314" i="1" s="1"/>
  <c r="P314" i="1" s="1"/>
  <c r="N314" i="1"/>
  <c r="O313" i="1"/>
  <c r="N313" i="1"/>
  <c r="O312" i="1"/>
  <c r="N312" i="1"/>
  <c r="O311" i="1"/>
  <c r="N311" i="1"/>
  <c r="R310" i="1"/>
  <c r="O310" i="1"/>
  <c r="M310" i="1" s="1"/>
  <c r="P310" i="1" s="1"/>
  <c r="N310" i="1"/>
  <c r="O309" i="1"/>
  <c r="N309" i="1"/>
  <c r="O308" i="1"/>
  <c r="N308" i="1"/>
  <c r="O307" i="1"/>
  <c r="N307" i="1"/>
  <c r="M307" i="1" s="1"/>
  <c r="P307" i="1" s="1"/>
  <c r="O306" i="1"/>
  <c r="N306" i="1"/>
  <c r="O305" i="1"/>
  <c r="N305" i="1"/>
  <c r="R304" i="1"/>
  <c r="R305" i="1" s="1"/>
  <c r="O304" i="1"/>
  <c r="N304" i="1"/>
  <c r="O303" i="1"/>
  <c r="N303" i="1"/>
  <c r="O302" i="1"/>
  <c r="N302" i="1"/>
  <c r="O301" i="1"/>
  <c r="N301" i="1"/>
  <c r="O300" i="1"/>
  <c r="N300" i="1"/>
  <c r="O299" i="1"/>
  <c r="M299" i="1" s="1"/>
  <c r="P299" i="1" s="1"/>
  <c r="N299" i="1"/>
  <c r="R298" i="1"/>
  <c r="R299" i="1" s="1"/>
  <c r="O298" i="1"/>
  <c r="N298" i="1"/>
  <c r="O297" i="1"/>
  <c r="N297" i="1"/>
  <c r="O296" i="1"/>
  <c r="N296" i="1"/>
  <c r="O295" i="1"/>
  <c r="N295" i="1"/>
  <c r="O294" i="1"/>
  <c r="N294" i="1"/>
  <c r="O293" i="1"/>
  <c r="N293" i="1"/>
  <c r="R292" i="1"/>
  <c r="O292" i="1"/>
  <c r="N292" i="1"/>
  <c r="O291" i="1"/>
  <c r="N291" i="1"/>
  <c r="O290" i="1"/>
  <c r="N290" i="1"/>
  <c r="M291" i="1" s="1"/>
  <c r="P291" i="1" s="1"/>
  <c r="O289" i="1"/>
  <c r="N289" i="1"/>
  <c r="O288" i="1"/>
  <c r="M288" i="1" s="1"/>
  <c r="P288" i="1" s="1"/>
  <c r="N288" i="1"/>
  <c r="O287" i="1"/>
  <c r="N287" i="1"/>
  <c r="R286" i="1"/>
  <c r="O286" i="1"/>
  <c r="N286" i="1"/>
  <c r="O285" i="1"/>
  <c r="M285" i="1" s="1"/>
  <c r="P285" i="1" s="1"/>
  <c r="N285" i="1"/>
  <c r="O284" i="1"/>
  <c r="N284" i="1"/>
  <c r="O283" i="1"/>
  <c r="M283" i="1" s="1"/>
  <c r="P283" i="1" s="1"/>
  <c r="N283" i="1"/>
  <c r="O282" i="1"/>
  <c r="M282" i="1" s="1"/>
  <c r="P282" i="1" s="1"/>
  <c r="N282" i="1"/>
  <c r="O281" i="1"/>
  <c r="N281" i="1"/>
  <c r="R280" i="1"/>
  <c r="R281" i="1" s="1"/>
  <c r="R282" i="1" s="1"/>
  <c r="O280" i="1"/>
  <c r="N280" i="1"/>
  <c r="O279" i="1"/>
  <c r="M279" i="1" s="1"/>
  <c r="P279" i="1" s="1"/>
  <c r="N279" i="1"/>
  <c r="O278" i="1"/>
  <c r="N278" i="1"/>
  <c r="O277" i="1"/>
  <c r="N277" i="1"/>
  <c r="R276" i="1"/>
  <c r="R277" i="1" s="1"/>
  <c r="O276" i="1"/>
  <c r="N276" i="1"/>
  <c r="O275" i="1"/>
  <c r="N275" i="1"/>
  <c r="O274" i="1"/>
  <c r="M274" i="1" s="1"/>
  <c r="P274" i="1" s="1"/>
  <c r="N274" i="1"/>
  <c r="O273" i="1"/>
  <c r="N273" i="1"/>
  <c r="M273" i="1" s="1"/>
  <c r="P273" i="1" s="1"/>
  <c r="O272" i="1"/>
  <c r="N272" i="1"/>
  <c r="O271" i="1"/>
  <c r="N271" i="1"/>
  <c r="M272" i="1" s="1"/>
  <c r="P272" i="1" s="1"/>
  <c r="R270" i="1"/>
  <c r="R271" i="1" s="1"/>
  <c r="O270" i="1"/>
  <c r="N270" i="1"/>
  <c r="O269" i="1"/>
  <c r="N269" i="1"/>
  <c r="O268" i="1"/>
  <c r="N268" i="1"/>
  <c r="O267" i="1"/>
  <c r="N267" i="1"/>
  <c r="O266" i="1"/>
  <c r="N266" i="1"/>
  <c r="O265" i="1"/>
  <c r="M265" i="1" s="1"/>
  <c r="P265" i="1" s="1"/>
  <c r="N265" i="1"/>
  <c r="R264" i="1"/>
  <c r="R265" i="1" s="1"/>
  <c r="R266" i="1" s="1"/>
  <c r="R267" i="1" s="1"/>
  <c r="O264" i="1"/>
  <c r="N264" i="1"/>
  <c r="O263" i="1"/>
  <c r="N263" i="1"/>
  <c r="O262" i="1"/>
  <c r="N262" i="1"/>
  <c r="O261" i="1"/>
  <c r="M261" i="1" s="1"/>
  <c r="P261" i="1" s="1"/>
  <c r="N261" i="1"/>
  <c r="O260" i="1"/>
  <c r="N260" i="1"/>
  <c r="O259" i="1"/>
  <c r="N259" i="1"/>
  <c r="R258" i="1"/>
  <c r="R259" i="1" s="1"/>
  <c r="R260" i="1" s="1"/>
  <c r="O258" i="1"/>
  <c r="M258" i="1" s="1"/>
  <c r="P258" i="1" s="1"/>
  <c r="N258" i="1"/>
  <c r="O257" i="1"/>
  <c r="N257" i="1"/>
  <c r="M257" i="1" s="1"/>
  <c r="P257" i="1" s="1"/>
  <c r="O256" i="1"/>
  <c r="N256" i="1"/>
  <c r="O255" i="1"/>
  <c r="M256" i="1" s="1"/>
  <c r="P256" i="1" s="1"/>
  <c r="N255" i="1"/>
  <c r="O254" i="1"/>
  <c r="N254" i="1"/>
  <c r="O253" i="1"/>
  <c r="N253" i="1"/>
  <c r="R252" i="1"/>
  <c r="R253" i="1" s="1"/>
  <c r="O252" i="1"/>
  <c r="N252" i="1"/>
  <c r="M252" i="1" s="1"/>
  <c r="P252" i="1" s="1"/>
  <c r="O251" i="1"/>
  <c r="N251" i="1"/>
  <c r="O250" i="1"/>
  <c r="N250" i="1"/>
  <c r="O249" i="1"/>
  <c r="N249" i="1"/>
  <c r="O248" i="1"/>
  <c r="N248" i="1"/>
  <c r="R247" i="1"/>
  <c r="O247" i="1"/>
  <c r="N247" i="1"/>
  <c r="R246" i="1"/>
  <c r="O246" i="1"/>
  <c r="N246" i="1"/>
  <c r="O245" i="1"/>
  <c r="N245" i="1"/>
  <c r="O244" i="1"/>
  <c r="N244" i="1"/>
  <c r="R243" i="1"/>
  <c r="O243" i="1"/>
  <c r="N243" i="1"/>
  <c r="R242" i="1"/>
  <c r="O242" i="1"/>
  <c r="M243" i="1" s="1"/>
  <c r="P243" i="1" s="1"/>
  <c r="N242" i="1"/>
  <c r="O241" i="1"/>
  <c r="N241" i="1"/>
  <c r="O240" i="1"/>
  <c r="N240" i="1"/>
  <c r="O239" i="1"/>
  <c r="N239" i="1"/>
  <c r="O238" i="1"/>
  <c r="N238" i="1"/>
  <c r="O237" i="1"/>
  <c r="N237" i="1"/>
  <c r="R236" i="1"/>
  <c r="R237" i="1" s="1"/>
  <c r="O236" i="1"/>
  <c r="N236" i="1"/>
  <c r="O235" i="1"/>
  <c r="N235" i="1"/>
  <c r="O234" i="1"/>
  <c r="N234" i="1"/>
  <c r="O233" i="1"/>
  <c r="N233" i="1"/>
  <c r="O232" i="1"/>
  <c r="N232" i="1"/>
  <c r="O231" i="1"/>
  <c r="M232" i="1" s="1"/>
  <c r="P232" i="1" s="1"/>
  <c r="N231" i="1"/>
  <c r="R230" i="1"/>
  <c r="R231" i="1" s="1"/>
  <c r="O230" i="1"/>
  <c r="N230" i="1"/>
  <c r="O229" i="1"/>
  <c r="N229" i="1"/>
  <c r="O228" i="1"/>
  <c r="N228" i="1"/>
  <c r="M228" i="1" s="1"/>
  <c r="P228" i="1" s="1"/>
  <c r="O227" i="1"/>
  <c r="M227" i="1" s="1"/>
  <c r="P227" i="1" s="1"/>
  <c r="N227" i="1"/>
  <c r="O226" i="1"/>
  <c r="N226" i="1"/>
  <c r="O225" i="1"/>
  <c r="N225" i="1"/>
  <c r="R224" i="1"/>
  <c r="R225" i="1" s="1"/>
  <c r="R226" i="1" s="1"/>
  <c r="O224" i="1"/>
  <c r="N224" i="1"/>
  <c r="O223" i="1"/>
  <c r="N223" i="1"/>
  <c r="O222" i="1"/>
  <c r="N222" i="1"/>
  <c r="O221" i="1"/>
  <c r="N221" i="1"/>
  <c r="R220" i="1"/>
  <c r="R221" i="1" s="1"/>
  <c r="O220" i="1"/>
  <c r="N220" i="1"/>
  <c r="O219" i="1"/>
  <c r="M220" i="1" s="1"/>
  <c r="P220" i="1" s="1"/>
  <c r="N219" i="1"/>
  <c r="O218" i="1"/>
  <c r="N218" i="1"/>
  <c r="O217" i="1"/>
  <c r="N217" i="1"/>
  <c r="O216" i="1"/>
  <c r="N216" i="1"/>
  <c r="O215" i="1"/>
  <c r="N215" i="1"/>
  <c r="R214" i="1"/>
  <c r="R215" i="1" s="1"/>
  <c r="O214" i="1"/>
  <c r="N214" i="1"/>
  <c r="O213" i="1"/>
  <c r="N213" i="1"/>
  <c r="O212" i="1"/>
  <c r="N212" i="1"/>
  <c r="M212" i="1"/>
  <c r="P212" i="1" s="1"/>
  <c r="O211" i="1"/>
  <c r="N211" i="1"/>
  <c r="O210" i="1"/>
  <c r="N210" i="1"/>
  <c r="O209" i="1"/>
  <c r="N209" i="1"/>
  <c r="R208" i="1"/>
  <c r="R209" i="1" s="1"/>
  <c r="R210" i="1" s="1"/>
  <c r="O208" i="1"/>
  <c r="N208" i="1"/>
  <c r="O207" i="1"/>
  <c r="N207" i="1"/>
  <c r="O206" i="1"/>
  <c r="N206" i="1"/>
  <c r="O205" i="1"/>
  <c r="N205" i="1"/>
  <c r="O204" i="1"/>
  <c r="N204" i="1"/>
  <c r="O203" i="1"/>
  <c r="M203" i="1" s="1"/>
  <c r="P203" i="1" s="1"/>
  <c r="N203" i="1"/>
  <c r="R202" i="1"/>
  <c r="R203" i="1" s="1"/>
  <c r="O202" i="1"/>
  <c r="N202" i="1"/>
  <c r="O201" i="1"/>
  <c r="M201" i="1" s="1"/>
  <c r="P201" i="1" s="1"/>
  <c r="N201" i="1"/>
  <c r="O200" i="1"/>
  <c r="N200" i="1"/>
  <c r="O199" i="1"/>
  <c r="N199" i="1"/>
  <c r="R198" i="1"/>
  <c r="R199" i="1" s="1"/>
  <c r="O198" i="1"/>
  <c r="N198" i="1"/>
  <c r="O197" i="1"/>
  <c r="N197" i="1"/>
  <c r="O196" i="1"/>
  <c r="N196" i="1"/>
  <c r="O195" i="1"/>
  <c r="N195" i="1"/>
  <c r="O194" i="1"/>
  <c r="N194" i="1"/>
  <c r="O193" i="1"/>
  <c r="N193" i="1"/>
  <c r="R192" i="1"/>
  <c r="R193" i="1" s="1"/>
  <c r="R194" i="1" s="1"/>
  <c r="O192" i="1"/>
  <c r="N192" i="1"/>
  <c r="O191" i="1"/>
  <c r="M192" i="1" s="1"/>
  <c r="P192" i="1" s="1"/>
  <c r="N191" i="1"/>
  <c r="O190" i="1"/>
  <c r="N190" i="1"/>
  <c r="O189" i="1"/>
  <c r="N189" i="1"/>
  <c r="O188" i="1"/>
  <c r="N188" i="1"/>
  <c r="R187" i="1"/>
  <c r="O187" i="1"/>
  <c r="M187" i="1" s="1"/>
  <c r="P187" i="1" s="1"/>
  <c r="N187" i="1"/>
  <c r="R186" i="1"/>
  <c r="O186" i="1"/>
  <c r="N186" i="1"/>
  <c r="O185" i="1"/>
  <c r="N185" i="1"/>
  <c r="O184" i="1"/>
  <c r="N184" i="1"/>
  <c r="O183" i="1"/>
  <c r="N183" i="1"/>
  <c r="O182" i="1"/>
  <c r="N182" i="1"/>
  <c r="O181" i="1"/>
  <c r="N181" i="1"/>
  <c r="R180" i="1"/>
  <c r="R181" i="1" s="1"/>
  <c r="O180" i="1"/>
  <c r="N180" i="1"/>
  <c r="M180" i="1" s="1"/>
  <c r="P180" i="1" s="1"/>
  <c r="O179" i="1"/>
  <c r="N179" i="1"/>
  <c r="O178" i="1"/>
  <c r="N178" i="1"/>
  <c r="M179" i="1" s="1"/>
  <c r="P179" i="1" s="1"/>
  <c r="O177" i="1"/>
  <c r="M177" i="1" s="1"/>
  <c r="P177" i="1" s="1"/>
  <c r="N177" i="1"/>
  <c r="O176" i="1"/>
  <c r="N176" i="1"/>
  <c r="O175" i="1"/>
  <c r="N175" i="1"/>
  <c r="R174" i="1"/>
  <c r="R175" i="1" s="1"/>
  <c r="O174" i="1"/>
  <c r="N174" i="1"/>
  <c r="O173" i="1"/>
  <c r="N173" i="1"/>
  <c r="O172" i="1"/>
  <c r="N172" i="1"/>
  <c r="O171" i="1"/>
  <c r="N171" i="1"/>
  <c r="O170" i="1"/>
  <c r="N170" i="1"/>
  <c r="O169" i="1"/>
  <c r="N169" i="1"/>
  <c r="R168" i="1"/>
  <c r="O168" i="1"/>
  <c r="N168" i="1"/>
  <c r="O167" i="1"/>
  <c r="M168" i="1" s="1"/>
  <c r="P168" i="1" s="1"/>
  <c r="N167" i="1"/>
  <c r="O166" i="1"/>
  <c r="N166" i="1"/>
  <c r="O165" i="1"/>
  <c r="N165" i="1"/>
  <c r="O164" i="1"/>
  <c r="N164" i="1"/>
  <c r="R163" i="1"/>
  <c r="O163" i="1"/>
  <c r="N163" i="1"/>
  <c r="R162" i="1"/>
  <c r="O162" i="1"/>
  <c r="N162" i="1"/>
  <c r="O161" i="1"/>
  <c r="N161" i="1"/>
  <c r="O160" i="1"/>
  <c r="N160" i="1"/>
  <c r="O159" i="1"/>
  <c r="N159" i="1"/>
  <c r="O158" i="1"/>
  <c r="N158" i="1"/>
  <c r="O157" i="1"/>
  <c r="N157" i="1"/>
  <c r="R156" i="1"/>
  <c r="R157" i="1" s="1"/>
  <c r="O156" i="1"/>
  <c r="M156" i="1" s="1"/>
  <c r="P156" i="1" s="1"/>
  <c r="N156" i="1"/>
  <c r="O155" i="1"/>
  <c r="N155" i="1"/>
  <c r="O154" i="1"/>
  <c r="N154" i="1"/>
  <c r="O153" i="1"/>
  <c r="M153" i="1" s="1"/>
  <c r="P153" i="1" s="1"/>
  <c r="N153" i="1"/>
  <c r="O152" i="1"/>
  <c r="N152" i="1"/>
  <c r="O151" i="1"/>
  <c r="N151" i="1"/>
  <c r="R150" i="1"/>
  <c r="R151" i="1" s="1"/>
  <c r="R152" i="1" s="1"/>
  <c r="R153" i="1" s="1"/>
  <c r="R154" i="1" s="1"/>
  <c r="O150" i="1"/>
  <c r="N150" i="1"/>
  <c r="O149" i="1"/>
  <c r="N149" i="1"/>
  <c r="O148" i="1"/>
  <c r="N148" i="1"/>
  <c r="O147" i="1"/>
  <c r="N147" i="1"/>
  <c r="M147" i="1" s="1"/>
  <c r="P147" i="1" s="1"/>
  <c r="O146" i="1"/>
  <c r="N146" i="1"/>
  <c r="O145" i="1"/>
  <c r="N145" i="1"/>
  <c r="R144" i="1"/>
  <c r="R145" i="1" s="1"/>
  <c r="R146" i="1" s="1"/>
  <c r="O144" i="1"/>
  <c r="N144" i="1"/>
  <c r="O143" i="1"/>
  <c r="N143" i="1"/>
  <c r="O142" i="1"/>
  <c r="N142" i="1"/>
  <c r="O141" i="1"/>
  <c r="N141" i="1"/>
  <c r="O140" i="1"/>
  <c r="N140" i="1"/>
  <c r="M140" i="1" s="1"/>
  <c r="P140" i="1" s="1"/>
  <c r="O139" i="1"/>
  <c r="M139" i="1" s="1"/>
  <c r="P139" i="1" s="1"/>
  <c r="N139" i="1"/>
  <c r="R138" i="1"/>
  <c r="R139" i="1" s="1"/>
  <c r="O138" i="1"/>
  <c r="N138" i="1"/>
  <c r="O137" i="1"/>
  <c r="M137" i="1" s="1"/>
  <c r="P137" i="1" s="1"/>
  <c r="N137" i="1"/>
  <c r="O136" i="1"/>
  <c r="N136" i="1"/>
  <c r="O135" i="1"/>
  <c r="N135" i="1"/>
  <c r="O134" i="1"/>
  <c r="N134" i="1"/>
  <c r="O133" i="1"/>
  <c r="M133" i="1" s="1"/>
  <c r="P133" i="1" s="1"/>
  <c r="N133" i="1"/>
  <c r="R132" i="1"/>
  <c r="R133" i="1" s="1"/>
  <c r="O132" i="1"/>
  <c r="N132" i="1"/>
  <c r="O131" i="1"/>
  <c r="N131" i="1"/>
  <c r="M131" i="1"/>
  <c r="P131" i="1" s="1"/>
  <c r="O130" i="1"/>
  <c r="N130" i="1"/>
  <c r="O129" i="1"/>
  <c r="M129" i="1" s="1"/>
  <c r="P129" i="1" s="1"/>
  <c r="N129" i="1"/>
  <c r="O128" i="1"/>
  <c r="N128" i="1"/>
  <c r="R127" i="1"/>
  <c r="R128" i="1" s="1"/>
  <c r="R129" i="1" s="1"/>
  <c r="R130" i="1" s="1"/>
  <c r="O127" i="1"/>
  <c r="M128" i="1" s="1"/>
  <c r="P128" i="1" s="1"/>
  <c r="N127" i="1"/>
  <c r="R126" i="1"/>
  <c r="O126" i="1"/>
  <c r="N126" i="1"/>
  <c r="O125" i="1"/>
  <c r="N125" i="1"/>
  <c r="O124" i="1"/>
  <c r="M124" i="1" s="1"/>
  <c r="P124" i="1" s="1"/>
  <c r="N124" i="1"/>
  <c r="O123" i="1"/>
  <c r="M123" i="1" s="1"/>
  <c r="P123" i="1" s="1"/>
  <c r="N123" i="1"/>
  <c r="O122" i="1"/>
  <c r="N122" i="1"/>
  <c r="O121" i="1"/>
  <c r="M121" i="1" s="1"/>
  <c r="P121" i="1" s="1"/>
  <c r="N121" i="1"/>
  <c r="R120" i="1"/>
  <c r="R121" i="1" s="1"/>
  <c r="R122" i="1" s="1"/>
  <c r="O120" i="1"/>
  <c r="N120" i="1"/>
  <c r="O119" i="1"/>
  <c r="N119" i="1"/>
  <c r="O118" i="1"/>
  <c r="N118" i="1"/>
  <c r="O117" i="1"/>
  <c r="N117" i="1"/>
  <c r="O116" i="1"/>
  <c r="N116" i="1"/>
  <c r="O115" i="1"/>
  <c r="N115" i="1"/>
  <c r="R114" i="1"/>
  <c r="R115" i="1" s="1"/>
  <c r="O114" i="1"/>
  <c r="N114" i="1"/>
  <c r="O113" i="1"/>
  <c r="M113" i="1" s="1"/>
  <c r="P113" i="1" s="1"/>
  <c r="N113" i="1"/>
  <c r="O112" i="1"/>
  <c r="N112" i="1"/>
  <c r="O111" i="1"/>
  <c r="N111" i="1"/>
  <c r="O110" i="1"/>
  <c r="N110" i="1"/>
  <c r="O109" i="1"/>
  <c r="N109" i="1"/>
  <c r="R108" i="1"/>
  <c r="R109" i="1" s="1"/>
  <c r="O108" i="1"/>
  <c r="N108" i="1"/>
  <c r="O107" i="1"/>
  <c r="N107" i="1"/>
  <c r="O106" i="1"/>
  <c r="N106" i="1"/>
  <c r="O105" i="1"/>
  <c r="N105" i="1"/>
  <c r="O104" i="1"/>
  <c r="N104" i="1"/>
  <c r="R103" i="1"/>
  <c r="O103" i="1"/>
  <c r="M104" i="1" s="1"/>
  <c r="P104" i="1" s="1"/>
  <c r="N103" i="1"/>
  <c r="R102" i="1"/>
  <c r="O102" i="1"/>
  <c r="N102" i="1"/>
  <c r="O101" i="1"/>
  <c r="N101" i="1"/>
  <c r="O100" i="1"/>
  <c r="N100" i="1"/>
  <c r="O99" i="1"/>
  <c r="N99" i="1"/>
  <c r="O98" i="1"/>
  <c r="N98" i="1"/>
  <c r="O97" i="1"/>
  <c r="N97" i="1"/>
  <c r="R96" i="1"/>
  <c r="R97" i="1" s="1"/>
  <c r="R98" i="1" s="1"/>
  <c r="O96" i="1"/>
  <c r="N96" i="1"/>
  <c r="O95" i="1"/>
  <c r="N95" i="1"/>
  <c r="O94" i="1"/>
  <c r="N94" i="1"/>
  <c r="O93" i="1"/>
  <c r="N93" i="1"/>
  <c r="O92" i="1"/>
  <c r="N92" i="1"/>
  <c r="R91" i="1"/>
  <c r="O91" i="1"/>
  <c r="N91" i="1"/>
  <c r="R90" i="1"/>
  <c r="O90" i="1"/>
  <c r="N90" i="1"/>
  <c r="O89" i="1"/>
  <c r="M89" i="1" s="1"/>
  <c r="P89" i="1" s="1"/>
  <c r="N89" i="1"/>
  <c r="O88" i="1"/>
  <c r="N88" i="1"/>
  <c r="O87" i="1"/>
  <c r="N87" i="1"/>
  <c r="O86" i="1"/>
  <c r="N86" i="1"/>
  <c r="O85" i="1"/>
  <c r="N85" i="1"/>
  <c r="R84" i="1"/>
  <c r="R85" i="1" s="1"/>
  <c r="O84" i="1"/>
  <c r="N84" i="1"/>
  <c r="O83" i="1"/>
  <c r="N83" i="1"/>
  <c r="M83" i="1"/>
  <c r="P83" i="1" s="1"/>
  <c r="O82" i="1"/>
  <c r="N82" i="1"/>
  <c r="O81" i="1"/>
  <c r="M81" i="1" s="1"/>
  <c r="P81" i="1" s="1"/>
  <c r="N81" i="1"/>
  <c r="O80" i="1"/>
  <c r="N80" i="1"/>
  <c r="O79" i="1"/>
  <c r="M80" i="1" s="1"/>
  <c r="P80" i="1" s="1"/>
  <c r="N79" i="1"/>
  <c r="R78" i="1"/>
  <c r="R79" i="1" s="1"/>
  <c r="O78" i="1"/>
  <c r="N78" i="1"/>
  <c r="O77" i="1"/>
  <c r="N77" i="1"/>
  <c r="O76" i="1"/>
  <c r="N76" i="1"/>
  <c r="M76" i="1" s="1"/>
  <c r="P76" i="1" s="1"/>
  <c r="O75" i="1"/>
  <c r="N75" i="1"/>
  <c r="O74" i="1"/>
  <c r="N74" i="1"/>
  <c r="O73" i="1"/>
  <c r="N73" i="1"/>
  <c r="R72" i="1"/>
  <c r="O72" i="1"/>
  <c r="N72" i="1"/>
  <c r="O71" i="1"/>
  <c r="N71" i="1"/>
  <c r="O70" i="1"/>
  <c r="N70" i="1"/>
  <c r="O69" i="1"/>
  <c r="N69" i="1"/>
  <c r="O68" i="1"/>
  <c r="N68" i="1"/>
  <c r="O67" i="1"/>
  <c r="N67" i="1"/>
  <c r="R66" i="1"/>
  <c r="R67" i="1" s="1"/>
  <c r="O66" i="1"/>
  <c r="N66" i="1"/>
  <c r="O65" i="1"/>
  <c r="M65" i="1" s="1"/>
  <c r="P65" i="1" s="1"/>
  <c r="N65" i="1"/>
  <c r="O64" i="1"/>
  <c r="N64" i="1"/>
  <c r="M64" i="1" s="1"/>
  <c r="P64" i="1" s="1"/>
  <c r="O63" i="1"/>
  <c r="N63" i="1"/>
  <c r="O62" i="1"/>
  <c r="N62" i="1"/>
  <c r="O61" i="1"/>
  <c r="N61" i="1"/>
  <c r="R60" i="1"/>
  <c r="R61" i="1" s="1"/>
  <c r="O60" i="1"/>
  <c r="M60" i="1" s="1"/>
  <c r="P60" i="1" s="1"/>
  <c r="N60" i="1"/>
  <c r="O59" i="1"/>
  <c r="N59" i="1"/>
  <c r="M59" i="1"/>
  <c r="P59" i="1" s="1"/>
  <c r="O58" i="1"/>
  <c r="N58" i="1"/>
  <c r="O57" i="1"/>
  <c r="N57" i="1"/>
  <c r="O56" i="1"/>
  <c r="N56" i="1"/>
  <c r="O55" i="1"/>
  <c r="N55" i="1"/>
  <c r="M55" i="1" s="1"/>
  <c r="P55" i="1" s="1"/>
  <c r="R54" i="1"/>
  <c r="O54" i="1"/>
  <c r="N54" i="1"/>
  <c r="O53" i="1"/>
  <c r="N53" i="1"/>
  <c r="O52" i="1"/>
  <c r="N52" i="1"/>
  <c r="O51" i="1"/>
  <c r="M51" i="1" s="1"/>
  <c r="P51" i="1" s="1"/>
  <c r="N51" i="1"/>
  <c r="O50" i="1"/>
  <c r="N50" i="1"/>
  <c r="O49" i="1"/>
  <c r="N49" i="1"/>
  <c r="R48" i="1"/>
  <c r="R49" i="1" s="1"/>
  <c r="R50" i="1" s="1"/>
  <c r="R51" i="1" s="1"/>
  <c r="O48" i="1"/>
  <c r="N48" i="1"/>
  <c r="O47" i="1"/>
  <c r="N47" i="1"/>
  <c r="O46" i="1"/>
  <c r="N46" i="1"/>
  <c r="O45" i="1"/>
  <c r="N45" i="1"/>
  <c r="O44" i="1"/>
  <c r="M44" i="1" s="1"/>
  <c r="P44" i="1" s="1"/>
  <c r="N44" i="1"/>
  <c r="O43" i="1"/>
  <c r="N43" i="1"/>
  <c r="R42" i="1"/>
  <c r="R43" i="1" s="1"/>
  <c r="O42" i="1"/>
  <c r="N42" i="1"/>
  <c r="M42" i="1"/>
  <c r="P42" i="1" s="1"/>
  <c r="O41" i="1"/>
  <c r="N41" i="1"/>
  <c r="O40" i="1"/>
  <c r="N40" i="1"/>
  <c r="O39" i="1"/>
  <c r="N39" i="1"/>
  <c r="O38" i="1"/>
  <c r="N38" i="1"/>
  <c r="O37" i="1"/>
  <c r="M37" i="1" s="1"/>
  <c r="P37" i="1" s="1"/>
  <c r="N37" i="1"/>
  <c r="R36" i="1"/>
  <c r="R37" i="1" s="1"/>
  <c r="R38" i="1" s="1"/>
  <c r="O36" i="1"/>
  <c r="N36" i="1"/>
  <c r="O35" i="1"/>
  <c r="N35" i="1"/>
  <c r="O34" i="1"/>
  <c r="N34" i="1"/>
  <c r="O33" i="1"/>
  <c r="N33" i="1"/>
  <c r="O32" i="1"/>
  <c r="N32" i="1"/>
  <c r="O31" i="1"/>
  <c r="M31" i="1" s="1"/>
  <c r="P31" i="1" s="1"/>
  <c r="N31" i="1"/>
  <c r="R30" i="1"/>
  <c r="O30" i="1"/>
  <c r="N30" i="1"/>
  <c r="O29" i="1"/>
  <c r="N29" i="1"/>
  <c r="O28" i="1"/>
  <c r="N28" i="1"/>
  <c r="O27" i="1"/>
  <c r="N27" i="1"/>
  <c r="O26" i="1"/>
  <c r="N26" i="1"/>
  <c r="O25" i="1"/>
  <c r="N25" i="1"/>
  <c r="R24" i="1"/>
  <c r="R25" i="1" s="1"/>
  <c r="O24" i="1"/>
  <c r="N24" i="1"/>
  <c r="O23" i="1"/>
  <c r="M23" i="1" s="1"/>
  <c r="P23" i="1" s="1"/>
  <c r="N23" i="1"/>
  <c r="O22" i="1"/>
  <c r="N22" i="1"/>
  <c r="O21" i="1"/>
  <c r="N21" i="1"/>
  <c r="O20" i="1"/>
  <c r="M20" i="1" s="1"/>
  <c r="P20" i="1" s="1"/>
  <c r="N20" i="1"/>
  <c r="O19" i="1"/>
  <c r="N19" i="1"/>
  <c r="R18" i="1"/>
  <c r="R19" i="1" s="1"/>
  <c r="O18" i="1"/>
  <c r="N18" i="1"/>
  <c r="O17" i="1"/>
  <c r="N17" i="1"/>
  <c r="O16" i="1"/>
  <c r="N16" i="1"/>
  <c r="O15" i="1"/>
  <c r="N15" i="1"/>
  <c r="O14" i="1"/>
  <c r="N14" i="1"/>
  <c r="R13" i="1"/>
  <c r="R14" i="1" s="1"/>
  <c r="O13" i="1"/>
  <c r="N13" i="1"/>
  <c r="R12" i="1"/>
  <c r="O12" i="1"/>
  <c r="N12" i="1"/>
  <c r="O11" i="1"/>
  <c r="N11" i="1"/>
  <c r="O10" i="1"/>
  <c r="N10" i="1"/>
  <c r="O9" i="1"/>
  <c r="N9" i="1"/>
  <c r="O8" i="1"/>
  <c r="N8" i="1"/>
  <c r="O7" i="1"/>
  <c r="N7" i="1"/>
  <c r="R6" i="1"/>
  <c r="O6" i="1"/>
  <c r="N6" i="1"/>
  <c r="O5" i="1"/>
  <c r="N5" i="1"/>
  <c r="O4" i="1"/>
  <c r="N4" i="1"/>
  <c r="O3" i="1"/>
  <c r="N3" i="1"/>
  <c r="X2" i="1"/>
  <c r="A3" i="2" s="1"/>
  <c r="R2" i="1"/>
  <c r="R3" i="1" s="1"/>
  <c r="O2" i="1"/>
  <c r="N2" i="1"/>
  <c r="M2" i="1"/>
  <c r="P2" i="1" s="1"/>
  <c r="M3" i="1" l="1"/>
  <c r="P3" i="1" s="1"/>
  <c r="M72" i="1"/>
  <c r="P72" i="1" s="1"/>
  <c r="M100" i="1"/>
  <c r="P100" i="1" s="1"/>
  <c r="M144" i="1"/>
  <c r="P144" i="1" s="1"/>
  <c r="M204" i="1"/>
  <c r="P204" i="1" s="1"/>
  <c r="M284" i="1"/>
  <c r="P284" i="1" s="1"/>
  <c r="M300" i="1"/>
  <c r="P300" i="1" s="1"/>
  <c r="M380" i="1"/>
  <c r="P380" i="1" s="1"/>
  <c r="M438" i="1"/>
  <c r="P438" i="1" s="1"/>
  <c r="M499" i="1"/>
  <c r="P499" i="1" s="1"/>
  <c r="P563" i="1"/>
  <c r="P576" i="1"/>
  <c r="P601" i="1"/>
  <c r="P696" i="1"/>
  <c r="P734" i="1"/>
  <c r="P768" i="1"/>
  <c r="P855" i="1"/>
  <c r="P915" i="1"/>
  <c r="P931" i="1"/>
  <c r="M7" i="1"/>
  <c r="P7" i="1" s="1"/>
  <c r="M28" i="1"/>
  <c r="P28" i="1" s="1"/>
  <c r="M67" i="1"/>
  <c r="P67" i="1" s="1"/>
  <c r="M93" i="1"/>
  <c r="P93" i="1" s="1"/>
  <c r="M112" i="1"/>
  <c r="P112" i="1" s="1"/>
  <c r="M155" i="1"/>
  <c r="P155" i="1" s="1"/>
  <c r="M185" i="1"/>
  <c r="P185" i="1" s="1"/>
  <c r="M188" i="1"/>
  <c r="P188" i="1" s="1"/>
  <c r="M216" i="1"/>
  <c r="P216" i="1" s="1"/>
  <c r="M219" i="1"/>
  <c r="P219" i="1" s="1"/>
  <c r="M245" i="1"/>
  <c r="P245" i="1" s="1"/>
  <c r="M298" i="1"/>
  <c r="P298" i="1" s="1"/>
  <c r="M327" i="1"/>
  <c r="P327" i="1" s="1"/>
  <c r="M352" i="1"/>
  <c r="P352" i="1" s="1"/>
  <c r="M394" i="1"/>
  <c r="P394" i="1" s="1"/>
  <c r="M410" i="1"/>
  <c r="P410" i="1" s="1"/>
  <c r="M423" i="1"/>
  <c r="P423" i="1" s="1"/>
  <c r="M471" i="1"/>
  <c r="P471" i="1" s="1"/>
  <c r="M494" i="1"/>
  <c r="P494" i="1" s="1"/>
  <c r="M558" i="1"/>
  <c r="P558" i="1" s="1"/>
  <c r="P588" i="1"/>
  <c r="P608" i="1"/>
  <c r="P616" i="1"/>
  <c r="P712" i="1"/>
  <c r="P720" i="1"/>
  <c r="P750" i="1"/>
  <c r="P780" i="1"/>
  <c r="P784" i="1"/>
  <c r="P842" i="1"/>
  <c r="P847" i="1"/>
  <c r="P897" i="1"/>
  <c r="P968" i="1"/>
  <c r="S2" i="1"/>
  <c r="M36" i="1"/>
  <c r="P36" i="1" s="1"/>
  <c r="M56" i="1"/>
  <c r="P56" i="1" s="1"/>
  <c r="M97" i="1"/>
  <c r="P97" i="1" s="1"/>
  <c r="M152" i="1"/>
  <c r="P152" i="1" s="1"/>
  <c r="M161" i="1"/>
  <c r="P161" i="1" s="1"/>
  <c r="M172" i="1"/>
  <c r="P172" i="1" s="1"/>
  <c r="M176" i="1"/>
  <c r="P176" i="1" s="1"/>
  <c r="M196" i="1"/>
  <c r="P196" i="1" s="1"/>
  <c r="M200" i="1"/>
  <c r="P200" i="1" s="1"/>
  <c r="M205" i="1"/>
  <c r="P205" i="1" s="1"/>
  <c r="M225" i="1"/>
  <c r="P225" i="1" s="1"/>
  <c r="M236" i="1"/>
  <c r="P236" i="1" s="1"/>
  <c r="M240" i="1"/>
  <c r="P240" i="1" s="1"/>
  <c r="M262" i="1"/>
  <c r="P262" i="1" s="1"/>
  <c r="M275" i="1"/>
  <c r="P275" i="1" s="1"/>
  <c r="M308" i="1"/>
  <c r="P308" i="1" s="1"/>
  <c r="M341" i="1"/>
  <c r="P341" i="1" s="1"/>
  <c r="M345" i="1"/>
  <c r="P345" i="1" s="1"/>
  <c r="M362" i="1"/>
  <c r="P362" i="1" s="1"/>
  <c r="M388" i="1"/>
  <c r="P388" i="1" s="1"/>
  <c r="M430" i="1"/>
  <c r="P430" i="1" s="1"/>
  <c r="M450" i="1"/>
  <c r="P450" i="1" s="1"/>
  <c r="M475" i="1"/>
  <c r="P475" i="1" s="1"/>
  <c r="M482" i="1"/>
  <c r="P482" i="1" s="1"/>
  <c r="M503" i="1"/>
  <c r="P503" i="1" s="1"/>
  <c r="M525" i="1"/>
  <c r="P525" i="1" s="1"/>
  <c r="M537" i="1"/>
  <c r="P537" i="1" s="1"/>
  <c r="P579" i="1"/>
  <c r="P604" i="1"/>
  <c r="P649" i="1"/>
  <c r="P658" i="1"/>
  <c r="P707" i="1"/>
  <c r="P746" i="1"/>
  <c r="M12" i="1"/>
  <c r="P12" i="1" s="1"/>
  <c r="M39" i="1"/>
  <c r="P39" i="1" s="1"/>
  <c r="M73" i="1"/>
  <c r="P73" i="1" s="1"/>
  <c r="M84" i="1"/>
  <c r="P84" i="1" s="1"/>
  <c r="M88" i="1"/>
  <c r="P88" i="1" s="1"/>
  <c r="M120" i="1"/>
  <c r="P120" i="1" s="1"/>
  <c r="M132" i="1"/>
  <c r="P132" i="1" s="1"/>
  <c r="M136" i="1"/>
  <c r="P136" i="1" s="1"/>
  <c r="M163" i="1"/>
  <c r="P163" i="1" s="1"/>
  <c r="M209" i="1"/>
  <c r="P209" i="1" s="1"/>
  <c r="M211" i="1"/>
  <c r="P211" i="1" s="1"/>
  <c r="M229" i="1"/>
  <c r="P229" i="1" s="1"/>
  <c r="M249" i="1"/>
  <c r="P249" i="1" s="1"/>
  <c r="M251" i="1"/>
  <c r="P251" i="1" s="1"/>
  <c r="M277" i="1"/>
  <c r="P277" i="1" s="1"/>
  <c r="M294" i="1"/>
  <c r="P294" i="1" s="1"/>
  <c r="M321" i="1"/>
  <c r="P321" i="1" s="1"/>
  <c r="M353" i="1"/>
  <c r="P353" i="1" s="1"/>
  <c r="M378" i="1"/>
  <c r="P378" i="1" s="1"/>
  <c r="M384" i="1"/>
  <c r="P384" i="1" s="1"/>
  <c r="M427" i="1"/>
  <c r="P427" i="1" s="1"/>
  <c r="M498" i="1"/>
  <c r="P498" i="1" s="1"/>
  <c r="M5" i="1"/>
  <c r="P5" i="1" s="1"/>
  <c r="M15" i="1"/>
  <c r="P15" i="1" s="1"/>
  <c r="M105" i="1"/>
  <c r="P105" i="1" s="1"/>
  <c r="M107" i="1"/>
  <c r="P107" i="1" s="1"/>
  <c r="M116" i="1"/>
  <c r="P116" i="1" s="1"/>
  <c r="M145" i="1"/>
  <c r="P145" i="1" s="1"/>
  <c r="M189" i="1"/>
  <c r="P189" i="1" s="1"/>
  <c r="M269" i="1"/>
  <c r="P269" i="1" s="1"/>
  <c r="M301" i="1"/>
  <c r="P301" i="1" s="1"/>
  <c r="M315" i="1"/>
  <c r="P315" i="1" s="1"/>
  <c r="M339" i="1"/>
  <c r="P339" i="1" s="1"/>
  <c r="M371" i="1"/>
  <c r="P371" i="1" s="1"/>
  <c r="M391" i="1"/>
  <c r="P391" i="1" s="1"/>
  <c r="M395" i="1"/>
  <c r="P395" i="1" s="1"/>
  <c r="M404" i="1"/>
  <c r="P404" i="1" s="1"/>
  <c r="M409" i="1"/>
  <c r="P409" i="1" s="1"/>
  <c r="M436" i="1"/>
  <c r="P436" i="1" s="1"/>
  <c r="M470" i="1"/>
  <c r="P470" i="1" s="1"/>
  <c r="M495" i="1"/>
  <c r="P495" i="1" s="1"/>
  <c r="M531" i="1"/>
  <c r="P531" i="1" s="1"/>
  <c r="M539" i="1"/>
  <c r="P539" i="1" s="1"/>
  <c r="P560" i="1"/>
  <c r="P573" i="1"/>
  <c r="P590" i="1"/>
  <c r="P627" i="1"/>
  <c r="P636" i="1"/>
  <c r="P640" i="1"/>
  <c r="P673" i="1"/>
  <c r="P682" i="1"/>
  <c r="P690" i="1"/>
  <c r="P840" i="1"/>
  <c r="P878" i="1"/>
  <c r="P995" i="1"/>
  <c r="M96" i="1"/>
  <c r="P96" i="1" s="1"/>
  <c r="M193" i="1"/>
  <c r="P193" i="1" s="1"/>
  <c r="M224" i="1"/>
  <c r="P224" i="1" s="1"/>
  <c r="M233" i="1"/>
  <c r="P233" i="1" s="1"/>
  <c r="M264" i="1"/>
  <c r="P264" i="1" s="1"/>
  <c r="M268" i="1"/>
  <c r="P268" i="1" s="1"/>
  <c r="M335" i="1"/>
  <c r="P335" i="1" s="1"/>
  <c r="P564" i="1"/>
  <c r="P660" i="1"/>
  <c r="P748" i="1"/>
  <c r="P752" i="1"/>
  <c r="P782" i="1"/>
  <c r="P820" i="1"/>
  <c r="M169" i="1"/>
  <c r="P169" i="1" s="1"/>
  <c r="M184" i="1"/>
  <c r="P184" i="1" s="1"/>
  <c r="M235" i="1"/>
  <c r="P235" i="1" s="1"/>
  <c r="A4" i="2"/>
  <c r="M48" i="1"/>
  <c r="P48" i="1" s="1"/>
  <c r="M52" i="1"/>
  <c r="P52" i="1" s="1"/>
  <c r="M92" i="1"/>
  <c r="P92" i="1" s="1"/>
  <c r="M115" i="1"/>
  <c r="P115" i="1" s="1"/>
  <c r="M160" i="1"/>
  <c r="P160" i="1" s="1"/>
  <c r="M208" i="1"/>
  <c r="P208" i="1" s="1"/>
  <c r="M217" i="1"/>
  <c r="P217" i="1" s="1"/>
  <c r="M241" i="1"/>
  <c r="P241" i="1" s="1"/>
  <c r="M244" i="1"/>
  <c r="P244" i="1" s="1"/>
  <c r="M248" i="1"/>
  <c r="P248" i="1" s="1"/>
  <c r="M316" i="1"/>
  <c r="P316" i="1" s="1"/>
  <c r="M318" i="1"/>
  <c r="P318" i="1" s="1"/>
  <c r="M338" i="1"/>
  <c r="P338" i="1" s="1"/>
  <c r="M382" i="1"/>
  <c r="P382" i="1" s="1"/>
  <c r="M392" i="1"/>
  <c r="P392" i="1" s="1"/>
  <c r="M402" i="1"/>
  <c r="P402" i="1" s="1"/>
  <c r="M420" i="1"/>
  <c r="P420" i="1" s="1"/>
  <c r="M434" i="1"/>
  <c r="P434" i="1" s="1"/>
  <c r="M460" i="1"/>
  <c r="P460" i="1" s="1"/>
  <c r="M467" i="1"/>
  <c r="P467" i="1" s="1"/>
  <c r="M492" i="1"/>
  <c r="P492" i="1" s="1"/>
  <c r="M545" i="1"/>
  <c r="P545" i="1" s="1"/>
  <c r="M553" i="1"/>
  <c r="P553" i="1" s="1"/>
  <c r="M555" i="1"/>
  <c r="P555" i="1" s="1"/>
  <c r="P585" i="1"/>
  <c r="P610" i="1"/>
  <c r="P651" i="1"/>
  <c r="P705" i="1"/>
  <c r="P714" i="1"/>
  <c r="P778" i="1"/>
  <c r="P835" i="1"/>
  <c r="P860" i="1"/>
  <c r="P864" i="1"/>
  <c r="P919" i="1"/>
  <c r="P561" i="1"/>
  <c r="P566" i="1"/>
  <c r="P580" i="1"/>
  <c r="P597" i="1"/>
  <c r="P606" i="1"/>
  <c r="P619" i="1"/>
  <c r="P628" i="1"/>
  <c r="P650" i="1"/>
  <c r="P667" i="1"/>
  <c r="P676" i="1"/>
  <c r="P697" i="1"/>
  <c r="P701" i="1"/>
  <c r="P706" i="1"/>
  <c r="P723" i="1"/>
  <c r="P737" i="1"/>
  <c r="P769" i="1"/>
  <c r="P802" i="1"/>
  <c r="P833" i="1"/>
  <c r="P838" i="1"/>
  <c r="P856" i="1"/>
  <c r="P865" i="1"/>
  <c r="P870" i="1"/>
  <c r="P884" i="1"/>
  <c r="P898" i="1"/>
  <c r="P903" i="1"/>
  <c r="P920" i="1"/>
  <c r="P929" i="1"/>
  <c r="P934" i="1"/>
  <c r="P948" i="1"/>
  <c r="P962" i="1"/>
  <c r="P967" i="1"/>
  <c r="P984" i="1"/>
  <c r="P993" i="1"/>
  <c r="P998" i="1"/>
  <c r="P1012" i="1"/>
  <c r="P1031" i="1"/>
  <c r="P1048" i="1"/>
  <c r="P1058" i="1"/>
  <c r="P1062" i="1"/>
  <c r="P1076" i="1"/>
  <c r="P1081" i="1"/>
  <c r="P1095" i="1"/>
  <c r="P1112" i="1"/>
  <c r="P1122" i="1"/>
  <c r="P1126" i="1"/>
  <c r="P1140" i="1"/>
  <c r="P1146" i="1"/>
  <c r="P1183" i="1"/>
  <c r="P1241" i="1"/>
  <c r="P1245" i="1"/>
  <c r="P1260" i="1"/>
  <c r="P1266" i="1"/>
  <c r="P1270" i="1"/>
  <c r="P1305" i="1"/>
  <c r="P1309" i="1"/>
  <c r="P1324" i="1"/>
  <c r="P1330" i="1"/>
  <c r="P1371" i="1"/>
  <c r="P1423" i="1"/>
  <c r="P942" i="1"/>
  <c r="P970" i="1"/>
  <c r="P975" i="1"/>
  <c r="P1006" i="1"/>
  <c r="P1039" i="1"/>
  <c r="P1066" i="1"/>
  <c r="P1070" i="1"/>
  <c r="P1089" i="1"/>
  <c r="P1103" i="1"/>
  <c r="P1130" i="1"/>
  <c r="P1134" i="1"/>
  <c r="P1154" i="1"/>
  <c r="P1158" i="1"/>
  <c r="P1177" i="1"/>
  <c r="P1201" i="1"/>
  <c r="P1225" i="1"/>
  <c r="P1250" i="1"/>
  <c r="P1254" i="1"/>
  <c r="P1289" i="1"/>
  <c r="P1314" i="1"/>
  <c r="P1318" i="1"/>
  <c r="P591" i="1"/>
  <c r="P600" i="1"/>
  <c r="P609" i="1"/>
  <c r="P618" i="1"/>
  <c r="P643" i="1"/>
  <c r="P666" i="1"/>
  <c r="P678" i="1"/>
  <c r="P691" i="1"/>
  <c r="P700" i="1"/>
  <c r="P713" i="1"/>
  <c r="P717" i="1"/>
  <c r="P722" i="1"/>
  <c r="P749" i="1"/>
  <c r="P754" i="1"/>
  <c r="P781" i="1"/>
  <c r="P786" i="1"/>
  <c r="P809" i="1"/>
  <c r="P823" i="1"/>
  <c r="P824" i="1"/>
  <c r="P836" i="1"/>
  <c r="P868" i="1"/>
  <c r="P877" i="1"/>
  <c r="P932" i="1"/>
  <c r="P941" i="1"/>
  <c r="P996" i="1"/>
  <c r="P1005" i="1"/>
  <c r="P1034" i="1"/>
  <c r="P1060" i="1"/>
  <c r="P1065" i="1"/>
  <c r="P1069" i="1"/>
  <c r="P1098" i="1"/>
  <c r="P1124" i="1"/>
  <c r="P1129" i="1"/>
  <c r="P1133" i="1"/>
  <c r="P1148" i="1"/>
  <c r="P1153" i="1"/>
  <c r="P1167" i="1"/>
  <c r="P1186" i="1"/>
  <c r="P1190" i="1"/>
  <c r="P1215" i="1"/>
  <c r="P1249" i="1"/>
  <c r="P1268" i="1"/>
  <c r="P1274" i="1"/>
  <c r="P1313" i="1"/>
  <c r="P1332" i="1"/>
  <c r="P1338" i="1"/>
  <c r="P1351" i="1"/>
  <c r="P1365" i="1"/>
  <c r="P1408" i="1"/>
  <c r="P1435" i="1"/>
  <c r="P1443" i="1"/>
  <c r="P1447" i="1"/>
  <c r="P568" i="1"/>
  <c r="P572" i="1"/>
  <c r="P577" i="1"/>
  <c r="P582" i="1"/>
  <c r="P617" i="1"/>
  <c r="P621" i="1"/>
  <c r="P626" i="1"/>
  <c r="P638" i="1"/>
  <c r="P652" i="1"/>
  <c r="P665" i="1"/>
  <c r="P669" i="1"/>
  <c r="P674" i="1"/>
  <c r="P686" i="1"/>
  <c r="P699" i="1"/>
  <c r="P721" i="1"/>
  <c r="P753" i="1"/>
  <c r="P785" i="1"/>
  <c r="P790" i="1"/>
  <c r="P813" i="1"/>
  <c r="P845" i="1"/>
  <c r="P872" i="1"/>
  <c r="P900" i="1"/>
  <c r="P909" i="1"/>
  <c r="P936" i="1"/>
  <c r="P964" i="1"/>
  <c r="P973" i="1"/>
  <c r="P1000" i="1"/>
  <c r="P1028" i="1"/>
  <c r="P1037" i="1"/>
  <c r="P1042" i="1"/>
  <c r="P1064" i="1"/>
  <c r="P1092" i="1"/>
  <c r="P1097" i="1"/>
  <c r="P1101" i="1"/>
  <c r="P1106" i="1"/>
  <c r="P1128" i="1"/>
  <c r="P1162" i="1"/>
  <c r="P1180" i="1"/>
  <c r="P1185" i="1"/>
  <c r="P1204" i="1"/>
  <c r="P1210" i="1"/>
  <c r="P1228" i="1"/>
  <c r="P1234" i="1"/>
  <c r="P1273" i="1"/>
  <c r="P1292" i="1"/>
  <c r="P1298" i="1"/>
  <c r="P1337" i="1"/>
  <c r="P1370" i="1"/>
  <c r="P1403" i="1"/>
  <c r="P1488" i="1"/>
  <c r="P890" i="1"/>
  <c r="P895" i="1"/>
  <c r="P954" i="1"/>
  <c r="P959" i="1"/>
  <c r="P1023" i="1"/>
  <c r="P1050" i="1"/>
  <c r="P1073" i="1"/>
  <c r="P1087" i="1"/>
  <c r="P1114" i="1"/>
  <c r="P1137" i="1"/>
  <c r="P1170" i="1"/>
  <c r="P1194" i="1"/>
  <c r="P1198" i="1"/>
  <c r="P1218" i="1"/>
  <c r="P1222" i="1"/>
  <c r="P1257" i="1"/>
  <c r="P1282" i="1"/>
  <c r="P1286" i="1"/>
  <c r="P1321" i="1"/>
  <c r="P1346" i="1"/>
  <c r="P1350" i="1"/>
  <c r="P1394" i="1"/>
  <c r="P1398" i="1"/>
  <c r="M502" i="1"/>
  <c r="P502" i="1" s="1"/>
  <c r="M535" i="1"/>
  <c r="P535" i="1" s="1"/>
  <c r="M542" i="1"/>
  <c r="P542" i="1" s="1"/>
  <c r="P589" i="1"/>
  <c r="P593" i="1"/>
  <c r="P598" i="1"/>
  <c r="P611" i="1"/>
  <c r="P620" i="1"/>
  <c r="P641" i="1"/>
  <c r="P654" i="1"/>
  <c r="P668" i="1"/>
  <c r="P689" i="1"/>
  <c r="P698" i="1"/>
  <c r="P715" i="1"/>
  <c r="P733" i="1"/>
  <c r="P738" i="1"/>
  <c r="P765" i="1"/>
  <c r="P770" i="1"/>
  <c r="P774" i="1"/>
  <c r="P797" i="1"/>
  <c r="P811" i="1"/>
  <c r="P825" i="1"/>
  <c r="P852" i="1"/>
  <c r="P861" i="1"/>
  <c r="P916" i="1"/>
  <c r="P925" i="1"/>
  <c r="P980" i="1"/>
  <c r="P989" i="1"/>
  <c r="P1018" i="1"/>
  <c r="P1044" i="1"/>
  <c r="P1049" i="1"/>
  <c r="P1053" i="1"/>
  <c r="P1082" i="1"/>
  <c r="P1108" i="1"/>
  <c r="P1113" i="1"/>
  <c r="P1117" i="1"/>
  <c r="P1151" i="1"/>
  <c r="P1164" i="1"/>
  <c r="P1169" i="1"/>
  <c r="P1173" i="1"/>
  <c r="P1193" i="1"/>
  <c r="P1197" i="1"/>
  <c r="P1212" i="1"/>
  <c r="P1217" i="1"/>
  <c r="P1236" i="1"/>
  <c r="P1242" i="1"/>
  <c r="P1281" i="1"/>
  <c r="P1300" i="1"/>
  <c r="P1306" i="1"/>
  <c r="P1345" i="1"/>
  <c r="P1376" i="1"/>
  <c r="P1380" i="1"/>
  <c r="P1384" i="1"/>
  <c r="P1362" i="1"/>
  <c r="P1401" i="1"/>
  <c r="P1420" i="1"/>
  <c r="P1465" i="1"/>
  <c r="P1474" i="1"/>
  <c r="P1483" i="1"/>
  <c r="P1492" i="1"/>
  <c r="P1497" i="1"/>
  <c r="P1385" i="1"/>
  <c r="P1389" i="1"/>
  <c r="P1404" i="1"/>
  <c r="P1410" i="1"/>
  <c r="P1414" i="1"/>
  <c r="P1449" i="1"/>
  <c r="P1453" i="1"/>
  <c r="P1458" i="1"/>
  <c r="P1468" i="1"/>
  <c r="P1477" i="1"/>
  <c r="P1482" i="1"/>
  <c r="P1491" i="1"/>
  <c r="P1500" i="1"/>
  <c r="P1409" i="1"/>
  <c r="P1418" i="1"/>
  <c r="P1428" i="1"/>
  <c r="P1462" i="1"/>
  <c r="P1473" i="1"/>
  <c r="P1486" i="1"/>
  <c r="P1329" i="1"/>
  <c r="P1348" i="1"/>
  <c r="P1354" i="1"/>
  <c r="P1393" i="1"/>
  <c r="P1412" i="1"/>
  <c r="P1457" i="1"/>
  <c r="P1466" i="1"/>
  <c r="P1353" i="1"/>
  <c r="P1357" i="1"/>
  <c r="P1372" i="1"/>
  <c r="P1378" i="1"/>
  <c r="P1382" i="1"/>
  <c r="P1417" i="1"/>
  <c r="P1421" i="1"/>
  <c r="P1426" i="1"/>
  <c r="P1436" i="1"/>
  <c r="P1446" i="1"/>
  <c r="P1475" i="1"/>
  <c r="P1484" i="1"/>
  <c r="P1489" i="1"/>
  <c r="P1493" i="1"/>
  <c r="P1498" i="1"/>
  <c r="AX2" i="2"/>
  <c r="B2" i="3" s="1"/>
  <c r="AY2" i="2"/>
  <c r="C2" i="3" s="1"/>
  <c r="AZ2" i="2"/>
  <c r="D2" i="3" s="1"/>
  <c r="AO13" i="2"/>
  <c r="AS55" i="2"/>
  <c r="AO46" i="2"/>
  <c r="AS99" i="2"/>
  <c r="AS119" i="2"/>
  <c r="AT87" i="2"/>
  <c r="AT19" i="2"/>
  <c r="AS19" i="2"/>
  <c r="AT33" i="2"/>
  <c r="AP10" i="2"/>
  <c r="AS33" i="2"/>
  <c r="AO10" i="2"/>
  <c r="AN10" i="2"/>
  <c r="AT36" i="2"/>
  <c r="AS36" i="2"/>
  <c r="AN13" i="2"/>
  <c r="AS22" i="2"/>
  <c r="AT97" i="2"/>
  <c r="AL74" i="2"/>
  <c r="AS75" i="2" s="1"/>
  <c r="AS97" i="2"/>
  <c r="AT83" i="2"/>
  <c r="AS83" i="2"/>
  <c r="AT22" i="2"/>
  <c r="AP46" i="2"/>
  <c r="AT55" i="2"/>
  <c r="AT86" i="2"/>
  <c r="AS86" i="2"/>
  <c r="AT100" i="2"/>
  <c r="AS100" i="2"/>
  <c r="AT116" i="2"/>
  <c r="AS116" i="2"/>
  <c r="AT127" i="2"/>
  <c r="AS127" i="2"/>
  <c r="AL108" i="2"/>
  <c r="AT108" i="2" s="1"/>
  <c r="AS88" i="2"/>
  <c r="AT99" i="2"/>
  <c r="AT88" i="2"/>
  <c r="AS89" i="2"/>
  <c r="AS101" i="2"/>
  <c r="AS90" i="2"/>
  <c r="AS85" i="2"/>
  <c r="AS118" i="2"/>
  <c r="A5" i="2"/>
  <c r="R52" i="1"/>
  <c r="M70" i="1"/>
  <c r="P70" i="1" s="1"/>
  <c r="M71" i="1"/>
  <c r="P71" i="1" s="1"/>
  <c r="M68" i="1"/>
  <c r="P68" i="1" s="1"/>
  <c r="M91" i="1"/>
  <c r="P91" i="1" s="1"/>
  <c r="S3" i="1"/>
  <c r="R4" i="1"/>
  <c r="M34" i="1"/>
  <c r="P34" i="1" s="1"/>
  <c r="R169" i="1"/>
  <c r="R15" i="1"/>
  <c r="R176" i="1"/>
  <c r="R7" i="1"/>
  <c r="M18" i="1"/>
  <c r="P18" i="1" s="1"/>
  <c r="M26" i="1"/>
  <c r="P26" i="1" s="1"/>
  <c r="M29" i="1"/>
  <c r="P29" i="1" s="1"/>
  <c r="M33" i="1"/>
  <c r="P33" i="1" s="1"/>
  <c r="M35" i="1"/>
  <c r="P35" i="1" s="1"/>
  <c r="M41" i="1"/>
  <c r="P41" i="1" s="1"/>
  <c r="M43" i="1"/>
  <c r="P43" i="1" s="1"/>
  <c r="M46" i="1"/>
  <c r="P46" i="1" s="1"/>
  <c r="M47" i="1"/>
  <c r="P47" i="1" s="1"/>
  <c r="M49" i="1"/>
  <c r="P49" i="1" s="1"/>
  <c r="M50" i="1"/>
  <c r="P50" i="1" s="1"/>
  <c r="M150" i="1"/>
  <c r="P150" i="1" s="1"/>
  <c r="M151" i="1"/>
  <c r="P151" i="1" s="1"/>
  <c r="M148" i="1"/>
  <c r="P148" i="1" s="1"/>
  <c r="R62" i="1"/>
  <c r="M77" i="1"/>
  <c r="P77" i="1" s="1"/>
  <c r="M75" i="1"/>
  <c r="P75" i="1" s="1"/>
  <c r="M10" i="1"/>
  <c r="P10" i="1" s="1"/>
  <c r="M21" i="1"/>
  <c r="P21" i="1" s="1"/>
  <c r="R158" i="1"/>
  <c r="M166" i="1"/>
  <c r="P166" i="1" s="1"/>
  <c r="M167" i="1"/>
  <c r="P167" i="1" s="1"/>
  <c r="M164" i="1"/>
  <c r="P164" i="1" s="1"/>
  <c r="M173" i="1"/>
  <c r="P173" i="1" s="1"/>
  <c r="M171" i="1"/>
  <c r="P171" i="1" s="1"/>
  <c r="M4" i="1"/>
  <c r="P4" i="1" s="1"/>
  <c r="M13" i="1"/>
  <c r="P13" i="1" s="1"/>
  <c r="R20" i="1"/>
  <c r="M25" i="1"/>
  <c r="P25" i="1" s="1"/>
  <c r="M27" i="1"/>
  <c r="P27" i="1" s="1"/>
  <c r="R39" i="1"/>
  <c r="R73" i="1"/>
  <c r="M9" i="1"/>
  <c r="P9" i="1" s="1"/>
  <c r="M11" i="1"/>
  <c r="P11" i="1" s="1"/>
  <c r="M17" i="1"/>
  <c r="P17" i="1" s="1"/>
  <c r="M19" i="1"/>
  <c r="P19" i="1" s="1"/>
  <c r="R31" i="1"/>
  <c r="R44" i="1"/>
  <c r="R80" i="1"/>
  <c r="M110" i="1"/>
  <c r="P110" i="1" s="1"/>
  <c r="M111" i="1"/>
  <c r="P111" i="1" s="1"/>
  <c r="M108" i="1"/>
  <c r="P108" i="1" s="1"/>
  <c r="R131" i="1"/>
  <c r="M222" i="1"/>
  <c r="P222" i="1" s="1"/>
  <c r="M223" i="1"/>
  <c r="P223" i="1" s="1"/>
  <c r="R227" i="1"/>
  <c r="M260" i="1"/>
  <c r="P260" i="1" s="1"/>
  <c r="M259" i="1"/>
  <c r="P259" i="1" s="1"/>
  <c r="M267" i="1"/>
  <c r="P267" i="1" s="1"/>
  <c r="R306" i="1"/>
  <c r="R359" i="1"/>
  <c r="M53" i="1"/>
  <c r="P53" i="1" s="1"/>
  <c r="R155" i="1"/>
  <c r="M206" i="1"/>
  <c r="P206" i="1" s="1"/>
  <c r="M207" i="1"/>
  <c r="P207" i="1" s="1"/>
  <c r="R211" i="1"/>
  <c r="M213" i="1"/>
  <c r="P213" i="1" s="1"/>
  <c r="M230" i="1"/>
  <c r="P230" i="1" s="1"/>
  <c r="M231" i="1"/>
  <c r="P231" i="1" s="1"/>
  <c r="R238" i="1"/>
  <c r="M246" i="1"/>
  <c r="P246" i="1" s="1"/>
  <c r="M247" i="1"/>
  <c r="P247" i="1" s="1"/>
  <c r="R254" i="1"/>
  <c r="R352" i="1"/>
  <c r="M463" i="1"/>
  <c r="P463" i="1" s="1"/>
  <c r="M464" i="1"/>
  <c r="P464" i="1" s="1"/>
  <c r="M8" i="1"/>
  <c r="P8" i="1" s="1"/>
  <c r="M16" i="1"/>
  <c r="P16" i="1" s="1"/>
  <c r="M24" i="1"/>
  <c r="P24" i="1" s="1"/>
  <c r="M32" i="1"/>
  <c r="P32" i="1" s="1"/>
  <c r="M40" i="1"/>
  <c r="P40" i="1" s="1"/>
  <c r="M57" i="1"/>
  <c r="P57" i="1" s="1"/>
  <c r="M58" i="1"/>
  <c r="P58" i="1" s="1"/>
  <c r="M61" i="1"/>
  <c r="P61" i="1" s="1"/>
  <c r="M78" i="1"/>
  <c r="P78" i="1" s="1"/>
  <c r="M79" i="1"/>
  <c r="P79" i="1" s="1"/>
  <c r="R86" i="1"/>
  <c r="M94" i="1"/>
  <c r="P94" i="1" s="1"/>
  <c r="M95" i="1"/>
  <c r="P95" i="1" s="1"/>
  <c r="R99" i="1"/>
  <c r="M101" i="1"/>
  <c r="P101" i="1" s="1"/>
  <c r="M117" i="1"/>
  <c r="P117" i="1" s="1"/>
  <c r="M134" i="1"/>
  <c r="P134" i="1" s="1"/>
  <c r="M135" i="1"/>
  <c r="P135" i="1" s="1"/>
  <c r="M157" i="1"/>
  <c r="P157" i="1" s="1"/>
  <c r="M174" i="1"/>
  <c r="P174" i="1" s="1"/>
  <c r="M175" i="1"/>
  <c r="P175" i="1" s="1"/>
  <c r="R182" i="1"/>
  <c r="M190" i="1"/>
  <c r="P190" i="1" s="1"/>
  <c r="M191" i="1"/>
  <c r="P191" i="1" s="1"/>
  <c r="R195" i="1"/>
  <c r="M197" i="1"/>
  <c r="P197" i="1" s="1"/>
  <c r="R232" i="1"/>
  <c r="R248" i="1"/>
  <c r="R261" i="1"/>
  <c r="R278" i="1"/>
  <c r="M306" i="1"/>
  <c r="P306" i="1" s="1"/>
  <c r="M45" i="1"/>
  <c r="P45" i="1" s="1"/>
  <c r="M99" i="1"/>
  <c r="P99" i="1" s="1"/>
  <c r="M195" i="1"/>
  <c r="P195" i="1" s="1"/>
  <c r="M214" i="1"/>
  <c r="P214" i="1" s="1"/>
  <c r="M215" i="1"/>
  <c r="P215" i="1" s="1"/>
  <c r="R222" i="1"/>
  <c r="M237" i="1"/>
  <c r="P237" i="1" s="1"/>
  <c r="M253" i="1"/>
  <c r="P253" i="1" s="1"/>
  <c r="R272" i="1"/>
  <c r="M276" i="1"/>
  <c r="P276" i="1" s="1"/>
  <c r="M303" i="1"/>
  <c r="P303" i="1" s="1"/>
  <c r="M304" i="1"/>
  <c r="P304" i="1" s="1"/>
  <c r="M346" i="1"/>
  <c r="P346" i="1" s="1"/>
  <c r="M347" i="1"/>
  <c r="P347" i="1" s="1"/>
  <c r="M344" i="1"/>
  <c r="P344" i="1" s="1"/>
  <c r="R375" i="1"/>
  <c r="M6" i="1"/>
  <c r="P6" i="1" s="1"/>
  <c r="F2" i="2" s="1"/>
  <c r="M14" i="1"/>
  <c r="P14" i="1" s="1"/>
  <c r="M22" i="1"/>
  <c r="P22" i="1" s="1"/>
  <c r="R26" i="1"/>
  <c r="M30" i="1"/>
  <c r="P30" i="1" s="1"/>
  <c r="M38" i="1"/>
  <c r="P38" i="1" s="1"/>
  <c r="R55" i="1"/>
  <c r="M62" i="1"/>
  <c r="P62" i="1" s="1"/>
  <c r="M63" i="1"/>
  <c r="P63" i="1" s="1"/>
  <c r="M85" i="1"/>
  <c r="P85" i="1" s="1"/>
  <c r="M102" i="1"/>
  <c r="P102" i="1" s="1"/>
  <c r="M103" i="1"/>
  <c r="P103" i="1" s="1"/>
  <c r="R110" i="1"/>
  <c r="M118" i="1"/>
  <c r="P118" i="1" s="1"/>
  <c r="M119" i="1"/>
  <c r="P119" i="1" s="1"/>
  <c r="R123" i="1"/>
  <c r="M125" i="1"/>
  <c r="P125" i="1" s="1"/>
  <c r="M141" i="1"/>
  <c r="P141" i="1" s="1"/>
  <c r="M158" i="1"/>
  <c r="P158" i="1" s="1"/>
  <c r="M159" i="1"/>
  <c r="P159" i="1" s="1"/>
  <c r="M181" i="1"/>
  <c r="P181" i="1" s="1"/>
  <c r="M198" i="1"/>
  <c r="P198" i="1" s="1"/>
  <c r="M199" i="1"/>
  <c r="P199" i="1" s="1"/>
  <c r="R216" i="1"/>
  <c r="M309" i="1"/>
  <c r="P309" i="1" s="1"/>
  <c r="M325" i="1"/>
  <c r="P325" i="1" s="1"/>
  <c r="M324" i="1"/>
  <c r="P324" i="1" s="1"/>
  <c r="M322" i="1"/>
  <c r="P322" i="1" s="1"/>
  <c r="M54" i="1"/>
  <c r="P54" i="1" s="1"/>
  <c r="R104" i="1"/>
  <c r="R200" i="1"/>
  <c r="M221" i="1"/>
  <c r="P221" i="1" s="1"/>
  <c r="M238" i="1"/>
  <c r="P238" i="1" s="1"/>
  <c r="M239" i="1"/>
  <c r="P239" i="1" s="1"/>
  <c r="M254" i="1"/>
  <c r="P254" i="1" s="1"/>
  <c r="M255" i="1"/>
  <c r="P255" i="1" s="1"/>
  <c r="R283" i="1"/>
  <c r="R287" i="1"/>
  <c r="M292" i="1"/>
  <c r="P292" i="1" s="1"/>
  <c r="M293" i="1"/>
  <c r="P293" i="1" s="1"/>
  <c r="M360" i="1"/>
  <c r="P360" i="1" s="1"/>
  <c r="M361" i="1"/>
  <c r="P361" i="1" s="1"/>
  <c r="M69" i="1"/>
  <c r="P69" i="1" s="1"/>
  <c r="M86" i="1"/>
  <c r="P86" i="1" s="1"/>
  <c r="M87" i="1"/>
  <c r="P87" i="1" s="1"/>
  <c r="M109" i="1"/>
  <c r="P109" i="1" s="1"/>
  <c r="M126" i="1"/>
  <c r="P126" i="1" s="1"/>
  <c r="M127" i="1"/>
  <c r="P127" i="1" s="1"/>
  <c r="R134" i="1"/>
  <c r="M142" i="1"/>
  <c r="P142" i="1" s="1"/>
  <c r="M143" i="1"/>
  <c r="P143" i="1" s="1"/>
  <c r="R147" i="1"/>
  <c r="M149" i="1"/>
  <c r="P149" i="1" s="1"/>
  <c r="M165" i="1"/>
  <c r="P165" i="1" s="1"/>
  <c r="M182" i="1"/>
  <c r="P182" i="1" s="1"/>
  <c r="M183" i="1"/>
  <c r="P183" i="1" s="1"/>
  <c r="M266" i="1"/>
  <c r="P266" i="1" s="1"/>
  <c r="R293" i="1"/>
  <c r="M280" i="1"/>
  <c r="P280" i="1" s="1"/>
  <c r="M286" i="1"/>
  <c r="P286" i="1" s="1"/>
  <c r="M289" i="1"/>
  <c r="P289" i="1" s="1"/>
  <c r="R344" i="1"/>
  <c r="M412" i="1"/>
  <c r="P412" i="1" s="1"/>
  <c r="M411" i="1"/>
  <c r="P411" i="1" s="1"/>
  <c r="M66" i="1"/>
  <c r="P66" i="1" s="1"/>
  <c r="M74" i="1"/>
  <c r="P74" i="1" s="1"/>
  <c r="M82" i="1"/>
  <c r="P82" i="1" s="1"/>
  <c r="M90" i="1"/>
  <c r="P90" i="1" s="1"/>
  <c r="M98" i="1"/>
  <c r="P98" i="1" s="1"/>
  <c r="M106" i="1"/>
  <c r="P106" i="1" s="1"/>
  <c r="M114" i="1"/>
  <c r="P114" i="1" s="1"/>
  <c r="M122" i="1"/>
  <c r="P122" i="1" s="1"/>
  <c r="M130" i="1"/>
  <c r="P130" i="1" s="1"/>
  <c r="M138" i="1"/>
  <c r="P138" i="1" s="1"/>
  <c r="M146" i="1"/>
  <c r="P146" i="1" s="1"/>
  <c r="M154" i="1"/>
  <c r="P154" i="1" s="1"/>
  <c r="M162" i="1"/>
  <c r="P162" i="1" s="1"/>
  <c r="M170" i="1"/>
  <c r="P170" i="1" s="1"/>
  <c r="M178" i="1"/>
  <c r="P178" i="1" s="1"/>
  <c r="M186" i="1"/>
  <c r="P186" i="1" s="1"/>
  <c r="M194" i="1"/>
  <c r="P194" i="1" s="1"/>
  <c r="M202" i="1"/>
  <c r="P202" i="1" s="1"/>
  <c r="M210" i="1"/>
  <c r="P210" i="1" s="1"/>
  <c r="M218" i="1"/>
  <c r="P218" i="1" s="1"/>
  <c r="M226" i="1"/>
  <c r="P226" i="1" s="1"/>
  <c r="M234" i="1"/>
  <c r="P234" i="1" s="1"/>
  <c r="M242" i="1"/>
  <c r="P242" i="1" s="1"/>
  <c r="M250" i="1"/>
  <c r="P250" i="1" s="1"/>
  <c r="M305" i="1"/>
  <c r="P305" i="1" s="1"/>
  <c r="R324" i="1"/>
  <c r="M333" i="1"/>
  <c r="P333" i="1" s="1"/>
  <c r="R349" i="1"/>
  <c r="R392" i="1"/>
  <c r="M295" i="1"/>
  <c r="P295" i="1" s="1"/>
  <c r="M296" i="1"/>
  <c r="P296" i="1" s="1"/>
  <c r="M358" i="1"/>
  <c r="P358" i="1" s="1"/>
  <c r="R68" i="1"/>
  <c r="R92" i="1"/>
  <c r="R116" i="1"/>
  <c r="R140" i="1"/>
  <c r="R164" i="1"/>
  <c r="R188" i="1"/>
  <c r="R204" i="1"/>
  <c r="R244" i="1"/>
  <c r="M271" i="1"/>
  <c r="P271" i="1" s="1"/>
  <c r="M278" i="1"/>
  <c r="P278" i="1" s="1"/>
  <c r="M287" i="1"/>
  <c r="P287" i="1" s="1"/>
  <c r="M290" i="1"/>
  <c r="P290" i="1" s="1"/>
  <c r="M302" i="1"/>
  <c r="P302" i="1" s="1"/>
  <c r="M311" i="1"/>
  <c r="P311" i="1" s="1"/>
  <c r="M312" i="1"/>
  <c r="P312" i="1" s="1"/>
  <c r="M323" i="1"/>
  <c r="P323" i="1" s="1"/>
  <c r="M350" i="1"/>
  <c r="P350" i="1" s="1"/>
  <c r="M348" i="1"/>
  <c r="P348" i="1" s="1"/>
  <c r="M356" i="1"/>
  <c r="P356" i="1" s="1"/>
  <c r="M368" i="1"/>
  <c r="P368" i="1" s="1"/>
  <c r="M370" i="1"/>
  <c r="P370" i="1" s="1"/>
  <c r="M297" i="1"/>
  <c r="P297" i="1" s="1"/>
  <c r="R300" i="1"/>
  <c r="M326" i="1"/>
  <c r="P326" i="1" s="1"/>
  <c r="R329" i="1"/>
  <c r="R398" i="1"/>
  <c r="M263" i="1"/>
  <c r="P263" i="1" s="1"/>
  <c r="R268" i="1"/>
  <c r="M270" i="1"/>
  <c r="P270" i="1" s="1"/>
  <c r="M281" i="1"/>
  <c r="P281" i="1" s="1"/>
  <c r="R311" i="1"/>
  <c r="M313" i="1"/>
  <c r="P313" i="1" s="1"/>
  <c r="M331" i="1"/>
  <c r="P331" i="1" s="1"/>
  <c r="M334" i="1"/>
  <c r="P334" i="1" s="1"/>
  <c r="M365" i="1"/>
  <c r="P365" i="1" s="1"/>
  <c r="M366" i="1"/>
  <c r="P366" i="1" s="1"/>
  <c r="M363" i="1"/>
  <c r="P363" i="1" s="1"/>
  <c r="M374" i="1"/>
  <c r="P374" i="1" s="1"/>
  <c r="M340" i="1"/>
  <c r="P340" i="1" s="1"/>
  <c r="M355" i="1"/>
  <c r="P355" i="1" s="1"/>
  <c r="R472" i="1"/>
  <c r="R335" i="1"/>
  <c r="M354" i="1"/>
  <c r="P354" i="1" s="1"/>
  <c r="M359" i="1"/>
  <c r="P359" i="1" s="1"/>
  <c r="M376" i="1"/>
  <c r="P376" i="1" s="1"/>
  <c r="M387" i="1"/>
  <c r="P387" i="1" s="1"/>
  <c r="M389" i="1"/>
  <c r="P389" i="1" s="1"/>
  <c r="R404" i="1"/>
  <c r="R431" i="1"/>
  <c r="R446" i="1"/>
  <c r="M456" i="1"/>
  <c r="P456" i="1" s="1"/>
  <c r="M454" i="1"/>
  <c r="P454" i="1" s="1"/>
  <c r="M457" i="1"/>
  <c r="P457" i="1" s="1"/>
  <c r="M513" i="1"/>
  <c r="P513" i="1" s="1"/>
  <c r="M514" i="1"/>
  <c r="P514" i="1" s="1"/>
  <c r="M425" i="1"/>
  <c r="P425" i="1" s="1"/>
  <c r="M424" i="1"/>
  <c r="P424" i="1" s="1"/>
  <c r="R440" i="1"/>
  <c r="R558" i="1"/>
  <c r="R317" i="1"/>
  <c r="M342" i="1"/>
  <c r="P342" i="1" s="1"/>
  <c r="M343" i="1"/>
  <c r="P343" i="1" s="1"/>
  <c r="M357" i="1"/>
  <c r="P357" i="1" s="1"/>
  <c r="R373" i="1"/>
  <c r="M375" i="1"/>
  <c r="P375" i="1" s="1"/>
  <c r="R382" i="1"/>
  <c r="M403" i="1"/>
  <c r="P403" i="1" s="1"/>
  <c r="M405" i="1"/>
  <c r="P405" i="1" s="1"/>
  <c r="R411" i="1"/>
  <c r="M414" i="1"/>
  <c r="P414" i="1" s="1"/>
  <c r="M418" i="1"/>
  <c r="P418" i="1" s="1"/>
  <c r="M421" i="1"/>
  <c r="P421" i="1" s="1"/>
  <c r="M428" i="1"/>
  <c r="P428" i="1" s="1"/>
  <c r="M429" i="1"/>
  <c r="P429" i="1" s="1"/>
  <c r="M432" i="1"/>
  <c r="P432" i="1" s="1"/>
  <c r="M444" i="1"/>
  <c r="P444" i="1" s="1"/>
  <c r="M445" i="1"/>
  <c r="P445" i="1" s="1"/>
  <c r="M451" i="1"/>
  <c r="P451" i="1" s="1"/>
  <c r="M449" i="1"/>
  <c r="P449" i="1" s="1"/>
  <c r="R503" i="1"/>
  <c r="M320" i="1"/>
  <c r="P320" i="1" s="1"/>
  <c r="M328" i="1"/>
  <c r="P328" i="1" s="1"/>
  <c r="M336" i="1"/>
  <c r="P336" i="1" s="1"/>
  <c r="R364" i="1"/>
  <c r="M393" i="1"/>
  <c r="P393" i="1" s="1"/>
  <c r="M407" i="1"/>
  <c r="P407" i="1" s="1"/>
  <c r="M422" i="1"/>
  <c r="P422" i="1" s="1"/>
  <c r="R424" i="1"/>
  <c r="M465" i="1"/>
  <c r="P465" i="1" s="1"/>
  <c r="M466" i="1"/>
  <c r="P466" i="1" s="1"/>
  <c r="M488" i="1"/>
  <c r="P488" i="1" s="1"/>
  <c r="M489" i="1"/>
  <c r="P489" i="1" s="1"/>
  <c r="M381" i="1"/>
  <c r="P381" i="1" s="1"/>
  <c r="R387" i="1"/>
  <c r="M390" i="1"/>
  <c r="P390" i="1" s="1"/>
  <c r="M400" i="1"/>
  <c r="P400" i="1" s="1"/>
  <c r="R416" i="1"/>
  <c r="M417" i="1"/>
  <c r="P417" i="1" s="1"/>
  <c r="M442" i="1"/>
  <c r="P442" i="1" s="1"/>
  <c r="M351" i="1"/>
  <c r="P351" i="1" s="1"/>
  <c r="M377" i="1"/>
  <c r="P377" i="1" s="1"/>
  <c r="M383" i="1"/>
  <c r="P383" i="1" s="1"/>
  <c r="M397" i="1"/>
  <c r="P397" i="1" s="1"/>
  <c r="R437" i="1"/>
  <c r="R458" i="1"/>
  <c r="M437" i="1"/>
  <c r="P437" i="1" s="1"/>
  <c r="M440" i="1"/>
  <c r="P440" i="1" s="1"/>
  <c r="M459" i="1"/>
  <c r="P459" i="1" s="1"/>
  <c r="R476" i="1"/>
  <c r="M480" i="1"/>
  <c r="P480" i="1" s="1"/>
  <c r="M490" i="1"/>
  <c r="P490" i="1" s="1"/>
  <c r="M506" i="1"/>
  <c r="P506" i="1" s="1"/>
  <c r="M518" i="1"/>
  <c r="P518" i="1" s="1"/>
  <c r="R522" i="1"/>
  <c r="M544" i="1"/>
  <c r="P544" i="1" s="1"/>
  <c r="M541" i="1"/>
  <c r="P541" i="1" s="1"/>
  <c r="R553" i="1"/>
  <c r="M477" i="1"/>
  <c r="P477" i="1" s="1"/>
  <c r="M478" i="1"/>
  <c r="P478" i="1" s="1"/>
  <c r="R484" i="1"/>
  <c r="R499" i="1"/>
  <c r="M511" i="1"/>
  <c r="P511" i="1" s="1"/>
  <c r="R516" i="1"/>
  <c r="M556" i="1"/>
  <c r="P556" i="1" s="1"/>
  <c r="M557" i="1"/>
  <c r="P557" i="1" s="1"/>
  <c r="M439" i="1"/>
  <c r="P439" i="1" s="1"/>
  <c r="R507" i="1"/>
  <c r="M509" i="1"/>
  <c r="P509" i="1" s="1"/>
  <c r="M510" i="1"/>
  <c r="P510" i="1" s="1"/>
  <c r="M419" i="1"/>
  <c r="P419" i="1" s="1"/>
  <c r="M448" i="1"/>
  <c r="P448" i="1" s="1"/>
  <c r="M455" i="1"/>
  <c r="P455" i="1" s="1"/>
  <c r="M472" i="1"/>
  <c r="P472" i="1" s="1"/>
  <c r="M474" i="1"/>
  <c r="P474" i="1" s="1"/>
  <c r="M481" i="1"/>
  <c r="P481" i="1" s="1"/>
  <c r="M486" i="1"/>
  <c r="P486" i="1" s="1"/>
  <c r="M485" i="1"/>
  <c r="P485" i="1" s="1"/>
  <c r="R493" i="1"/>
  <c r="M516" i="1"/>
  <c r="P516" i="1" s="1"/>
  <c r="M520" i="1"/>
  <c r="P520" i="1" s="1"/>
  <c r="M521" i="1"/>
  <c r="P521" i="1" s="1"/>
  <c r="M415" i="1"/>
  <c r="P415" i="1" s="1"/>
  <c r="M443" i="1"/>
  <c r="P443" i="1" s="1"/>
  <c r="R453" i="1"/>
  <c r="M483" i="1"/>
  <c r="P483" i="1" s="1"/>
  <c r="R489" i="1"/>
  <c r="M507" i="1"/>
  <c r="P507" i="1" s="1"/>
  <c r="M512" i="1"/>
  <c r="P512" i="1" s="1"/>
  <c r="M517" i="1"/>
  <c r="P517" i="1" s="1"/>
  <c r="M533" i="1"/>
  <c r="P533" i="1" s="1"/>
  <c r="M435" i="1"/>
  <c r="P435" i="1" s="1"/>
  <c r="M452" i="1"/>
  <c r="P452" i="1" s="1"/>
  <c r="M461" i="1"/>
  <c r="P461" i="1" s="1"/>
  <c r="R464" i="1"/>
  <c r="R526" i="1"/>
  <c r="M524" i="1"/>
  <c r="P524" i="1" s="1"/>
  <c r="M528" i="1"/>
  <c r="P528" i="1" s="1"/>
  <c r="M538" i="1"/>
  <c r="P538" i="1" s="1"/>
  <c r="M551" i="1"/>
  <c r="P551" i="1" s="1"/>
  <c r="M552" i="1"/>
  <c r="P552" i="1" s="1"/>
  <c r="M554" i="1"/>
  <c r="P554" i="1" s="1"/>
  <c r="P592" i="1"/>
  <c r="P637" i="1"/>
  <c r="P646" i="1"/>
  <c r="M530" i="1"/>
  <c r="P530" i="1" s="1"/>
  <c r="M543" i="1"/>
  <c r="P543" i="1" s="1"/>
  <c r="M484" i="1"/>
  <c r="P484" i="1" s="1"/>
  <c r="M508" i="1"/>
  <c r="P508" i="1" s="1"/>
  <c r="R531" i="1"/>
  <c r="M540" i="1"/>
  <c r="P540" i="1" s="1"/>
  <c r="R546" i="1"/>
  <c r="P595" i="1"/>
  <c r="P653" i="1"/>
  <c r="P662" i="1"/>
  <c r="P742" i="1"/>
  <c r="M468" i="1"/>
  <c r="P468" i="1" s="1"/>
  <c r="M496" i="1"/>
  <c r="P496" i="1" s="1"/>
  <c r="M500" i="1"/>
  <c r="P500" i="1" s="1"/>
  <c r="M504" i="1"/>
  <c r="P504" i="1" s="1"/>
  <c r="P599" i="1"/>
  <c r="P710" i="1"/>
  <c r="P630" i="1"/>
  <c r="M536" i="1"/>
  <c r="P536" i="1" s="1"/>
  <c r="R538" i="1"/>
  <c r="M476" i="1"/>
  <c r="P476" i="1" s="1"/>
  <c r="M532" i="1"/>
  <c r="P532" i="1" s="1"/>
  <c r="M548" i="1"/>
  <c r="P548" i="1" s="1"/>
  <c r="M559" i="1"/>
  <c r="P559" i="1" s="1"/>
  <c r="P567" i="1"/>
  <c r="P583" i="1"/>
  <c r="P726" i="1"/>
  <c r="P758" i="1"/>
  <c r="P822" i="1"/>
  <c r="P613" i="1"/>
  <c r="P629" i="1"/>
  <c r="P645" i="1"/>
  <c r="P661" i="1"/>
  <c r="P677" i="1"/>
  <c r="P693" i="1"/>
  <c r="P709" i="1"/>
  <c r="P725" i="1"/>
  <c r="P741" i="1"/>
  <c r="P757" i="1"/>
  <c r="P773" i="1"/>
  <c r="P789" i="1"/>
  <c r="P805" i="1"/>
  <c r="P821" i="1"/>
  <c r="P565" i="1"/>
  <c r="P607" i="1"/>
  <c r="P623" i="1"/>
  <c r="P639" i="1"/>
  <c r="P655" i="1"/>
  <c r="P671" i="1"/>
  <c r="P687" i="1"/>
  <c r="P703" i="1"/>
  <c r="P719" i="1"/>
  <c r="P735" i="1"/>
  <c r="P751" i="1"/>
  <c r="P767" i="1"/>
  <c r="P783" i="1"/>
  <c r="P799" i="1"/>
  <c r="P815" i="1"/>
  <c r="P834" i="1"/>
  <c r="P739" i="1"/>
  <c r="P755" i="1"/>
  <c r="P771" i="1"/>
  <c r="P787" i="1"/>
  <c r="P803" i="1"/>
  <c r="P819" i="1"/>
  <c r="M546" i="1"/>
  <c r="P546" i="1" s="1"/>
  <c r="P581" i="1"/>
  <c r="P587" i="1"/>
  <c r="P615" i="1"/>
  <c r="P631" i="1"/>
  <c r="P647" i="1"/>
  <c r="P663" i="1"/>
  <c r="P679" i="1"/>
  <c r="P695" i="1"/>
  <c r="P711" i="1"/>
  <c r="P727" i="1"/>
  <c r="P743" i="1"/>
  <c r="P759" i="1"/>
  <c r="P775" i="1"/>
  <c r="P791" i="1"/>
  <c r="P807" i="1"/>
  <c r="P829" i="1"/>
  <c r="P849" i="1"/>
  <c r="P854" i="1"/>
  <c r="P874" i="1"/>
  <c r="P893" i="1"/>
  <c r="P913" i="1"/>
  <c r="P918" i="1"/>
  <c r="P938" i="1"/>
  <c r="P957" i="1"/>
  <c r="P977" i="1"/>
  <c r="P982" i="1"/>
  <c r="P1002" i="1"/>
  <c r="P1021" i="1"/>
  <c r="P1046" i="1"/>
  <c r="P1085" i="1"/>
  <c r="P1110" i="1"/>
  <c r="P1149" i="1"/>
  <c r="P1174" i="1"/>
  <c r="P1213" i="1"/>
  <c r="P1238" i="1"/>
  <c r="P1277" i="1"/>
  <c r="P1302" i="1"/>
  <c r="P1341" i="1"/>
  <c r="P1366" i="1"/>
  <c r="P1405" i="1"/>
  <c r="P1430" i="1"/>
  <c r="P1454" i="1"/>
  <c r="P1469" i="1"/>
  <c r="P837" i="1"/>
  <c r="P857" i="1"/>
  <c r="P862" i="1"/>
  <c r="P882" i="1"/>
  <c r="P901" i="1"/>
  <c r="P921" i="1"/>
  <c r="P926" i="1"/>
  <c r="P946" i="1"/>
  <c r="P965" i="1"/>
  <c r="P985" i="1"/>
  <c r="P990" i="1"/>
  <c r="P1010" i="1"/>
  <c r="P1029" i="1"/>
  <c r="P1054" i="1"/>
  <c r="P1093" i="1"/>
  <c r="P1118" i="1"/>
  <c r="P1157" i="1"/>
  <c r="P1182" i="1"/>
  <c r="P1221" i="1"/>
  <c r="P1246" i="1"/>
  <c r="P1285" i="1"/>
  <c r="P1310" i="1"/>
  <c r="P1349" i="1"/>
  <c r="P1374" i="1"/>
  <c r="P1413" i="1"/>
  <c r="P1438" i="1"/>
  <c r="P1494" i="1"/>
  <c r="P826" i="1"/>
  <c r="P841" i="1"/>
  <c r="P846" i="1"/>
  <c r="P866" i="1"/>
  <c r="P885" i="1"/>
  <c r="P905" i="1"/>
  <c r="P910" i="1"/>
  <c r="P930" i="1"/>
  <c r="P949" i="1"/>
  <c r="P969" i="1"/>
  <c r="P974" i="1"/>
  <c r="P994" i="1"/>
  <c r="P1013" i="1"/>
  <c r="P1033" i="1"/>
  <c r="P1038" i="1"/>
  <c r="P1077" i="1"/>
  <c r="P1102" i="1"/>
  <c r="P1141" i="1"/>
  <c r="P1166" i="1"/>
  <c r="P1205" i="1"/>
  <c r="P1230" i="1"/>
  <c r="P1269" i="1"/>
  <c r="P1294" i="1"/>
  <c r="P1333" i="1"/>
  <c r="P1358" i="1"/>
  <c r="P1397" i="1"/>
  <c r="P1422" i="1"/>
  <c r="P1461" i="1"/>
  <c r="P1470" i="1"/>
  <c r="P830" i="1"/>
  <c r="P850" i="1"/>
  <c r="P869" i="1"/>
  <c r="P889" i="1"/>
  <c r="P894" i="1"/>
  <c r="P914" i="1"/>
  <c r="P933" i="1"/>
  <c r="P953" i="1"/>
  <c r="P958" i="1"/>
  <c r="P978" i="1"/>
  <c r="P997" i="1"/>
  <c r="P1017" i="1"/>
  <c r="P1022" i="1"/>
  <c r="P1061" i="1"/>
  <c r="P1086" i="1"/>
  <c r="P1125" i="1"/>
  <c r="P1150" i="1"/>
  <c r="P1189" i="1"/>
  <c r="P1214" i="1"/>
  <c r="P1253" i="1"/>
  <c r="P1278" i="1"/>
  <c r="P1317" i="1"/>
  <c r="P1342" i="1"/>
  <c r="P1381" i="1"/>
  <c r="P1406" i="1"/>
  <c r="P1445" i="1"/>
  <c r="J2" i="2" l="1"/>
  <c r="I2" i="2"/>
  <c r="H2" i="2"/>
  <c r="G2" i="2"/>
  <c r="T3" i="1"/>
  <c r="T4" i="1" s="1"/>
  <c r="T5" i="1" s="1"/>
  <c r="T6" i="1" s="1"/>
  <c r="T7" i="1" s="1"/>
  <c r="T8" i="1" s="1"/>
  <c r="E2" i="2"/>
  <c r="AT75" i="2"/>
  <c r="AT74" i="2"/>
  <c r="AS74" i="2"/>
  <c r="AS108" i="2"/>
  <c r="AS107" i="2"/>
  <c r="AT107" i="2"/>
  <c r="A6" i="2"/>
  <c r="R159" i="1"/>
  <c r="R205" i="1"/>
  <c r="R111" i="1"/>
  <c r="R8" i="1"/>
  <c r="R539" i="1"/>
  <c r="R485" i="1"/>
  <c r="R405" i="1"/>
  <c r="R336" i="1"/>
  <c r="R301" i="1"/>
  <c r="R69" i="1"/>
  <c r="R217" i="1"/>
  <c r="R27" i="1"/>
  <c r="R87" i="1"/>
  <c r="R212" i="1"/>
  <c r="R16" i="1"/>
  <c r="S4" i="1"/>
  <c r="R5" i="1"/>
  <c r="R504" i="1"/>
  <c r="R239" i="1"/>
  <c r="R228" i="1"/>
  <c r="R517" i="1"/>
  <c r="R532" i="1"/>
  <c r="R447" i="1"/>
  <c r="R189" i="1"/>
  <c r="R345" i="1"/>
  <c r="R148" i="1"/>
  <c r="R249" i="1"/>
  <c r="R196" i="1"/>
  <c r="R353" i="1"/>
  <c r="R307" i="1"/>
  <c r="R53" i="1"/>
  <c r="R412" i="1"/>
  <c r="R245" i="1"/>
  <c r="R201" i="1"/>
  <c r="R454" i="1"/>
  <c r="R494" i="1"/>
  <c r="R365" i="1"/>
  <c r="R383" i="1"/>
  <c r="R330" i="1"/>
  <c r="R165" i="1"/>
  <c r="R393" i="1"/>
  <c r="R56" i="1"/>
  <c r="R279" i="1"/>
  <c r="R63" i="1"/>
  <c r="R547" i="1"/>
  <c r="R465" i="1"/>
  <c r="R388" i="1"/>
  <c r="R318" i="1"/>
  <c r="R269" i="1"/>
  <c r="R399" i="1"/>
  <c r="R141" i="1"/>
  <c r="R325" i="1"/>
  <c r="R284" i="1"/>
  <c r="R376" i="1"/>
  <c r="R233" i="1"/>
  <c r="R100" i="1"/>
  <c r="R255" i="1"/>
  <c r="R81" i="1"/>
  <c r="R32" i="1"/>
  <c r="R40" i="1"/>
  <c r="R177" i="1"/>
  <c r="R170" i="1"/>
  <c r="R312" i="1"/>
  <c r="R508" i="1"/>
  <c r="R425" i="1"/>
  <c r="R559" i="1"/>
  <c r="R473" i="1"/>
  <c r="R117" i="1"/>
  <c r="R135" i="1"/>
  <c r="R223" i="1"/>
  <c r="R183" i="1"/>
  <c r="R360" i="1"/>
  <c r="R523" i="1"/>
  <c r="R417" i="1"/>
  <c r="R45" i="1"/>
  <c r="R74" i="1"/>
  <c r="R288" i="1"/>
  <c r="R105" i="1"/>
  <c r="R21" i="1"/>
  <c r="R527" i="1"/>
  <c r="R477" i="1"/>
  <c r="R459" i="1"/>
  <c r="R441" i="1"/>
  <c r="R93" i="1"/>
  <c r="R294" i="1"/>
  <c r="R124" i="1"/>
  <c r="R273" i="1"/>
  <c r="R262" i="1"/>
  <c r="A7" i="2" l="1"/>
  <c r="R478" i="1"/>
  <c r="R377" i="1"/>
  <c r="R125" i="1"/>
  <c r="R118" i="1"/>
  <c r="R285" i="1"/>
  <c r="R142" i="1"/>
  <c r="R394" i="1"/>
  <c r="R505" i="1"/>
  <c r="R17" i="1"/>
  <c r="R406" i="1"/>
  <c r="R166" i="1"/>
  <c r="R302" i="1"/>
  <c r="R160" i="1"/>
  <c r="R274" i="1"/>
  <c r="R442" i="1"/>
  <c r="R46" i="1"/>
  <c r="R509" i="1"/>
  <c r="R82" i="1"/>
  <c r="R101" i="1"/>
  <c r="R400" i="1"/>
  <c r="R389" i="1"/>
  <c r="R495" i="1"/>
  <c r="R354" i="1"/>
  <c r="R448" i="1"/>
  <c r="R88" i="1"/>
  <c r="R206" i="1"/>
  <c r="R190" i="1"/>
  <c r="R250" i="1"/>
  <c r="R9" i="1"/>
  <c r="B3" i="2" s="1"/>
  <c r="R94" i="1"/>
  <c r="R528" i="1"/>
  <c r="R326" i="1"/>
  <c r="R319" i="1"/>
  <c r="R57" i="1"/>
  <c r="S5" i="1"/>
  <c r="S6" i="1" s="1"/>
  <c r="S7" i="1" s="1"/>
  <c r="S8" i="1" s="1"/>
  <c r="R106" i="1"/>
  <c r="R418" i="1"/>
  <c r="R136" i="1"/>
  <c r="R171" i="1"/>
  <c r="R455" i="1"/>
  <c r="R149" i="1"/>
  <c r="R229" i="1"/>
  <c r="R28" i="1"/>
  <c r="R70" i="1"/>
  <c r="R75" i="1"/>
  <c r="R33" i="1"/>
  <c r="R263" i="1"/>
  <c r="R313" i="1"/>
  <c r="R41" i="1"/>
  <c r="R256" i="1"/>
  <c r="R466" i="1"/>
  <c r="R366" i="1"/>
  <c r="R337" i="1"/>
  <c r="R540" i="1"/>
  <c r="R533" i="1"/>
  <c r="R295" i="1"/>
  <c r="R218" i="1"/>
  <c r="R460" i="1"/>
  <c r="R22" i="1"/>
  <c r="R289" i="1"/>
  <c r="R361" i="1"/>
  <c r="R184" i="1"/>
  <c r="R178" i="1"/>
  <c r="R234" i="1"/>
  <c r="R64" i="1"/>
  <c r="R331" i="1"/>
  <c r="R413" i="1"/>
  <c r="R308" i="1"/>
  <c r="R197" i="1"/>
  <c r="R240" i="1"/>
  <c r="R213" i="1"/>
  <c r="R112" i="1"/>
  <c r="J3" i="2" l="1"/>
  <c r="Y2" i="2" s="1"/>
  <c r="I3" i="2"/>
  <c r="W2" i="2" s="1"/>
  <c r="H3" i="2"/>
  <c r="C3" i="2"/>
  <c r="AD3" i="2" s="1"/>
  <c r="AW3" i="2" s="1"/>
  <c r="A3" i="3" s="1"/>
  <c r="G3" i="2"/>
  <c r="F3" i="2"/>
  <c r="E3" i="2"/>
  <c r="D3" i="2"/>
  <c r="U2" i="2" s="1"/>
  <c r="A8" i="2"/>
  <c r="R137" i="1"/>
  <c r="R303" i="1"/>
  <c r="R257" i="1"/>
  <c r="R113" i="1"/>
  <c r="R241" i="1"/>
  <c r="R185" i="1"/>
  <c r="R534" i="1"/>
  <c r="R467" i="1"/>
  <c r="R76" i="1"/>
  <c r="R172" i="1"/>
  <c r="R449" i="1"/>
  <c r="R461" i="1"/>
  <c r="R71" i="1"/>
  <c r="R235" i="1"/>
  <c r="R338" i="1"/>
  <c r="R29" i="1"/>
  <c r="R419" i="1"/>
  <c r="R89" i="1"/>
  <c r="R355" i="1"/>
  <c r="R378" i="1"/>
  <c r="R541" i="1"/>
  <c r="S9" i="1"/>
  <c r="R10" i="1"/>
  <c r="T9" i="1"/>
  <c r="R332" i="1"/>
  <c r="R290" i="1"/>
  <c r="R219" i="1"/>
  <c r="R529" i="1"/>
  <c r="R251" i="1"/>
  <c r="R83" i="1"/>
  <c r="R167" i="1"/>
  <c r="R119" i="1"/>
  <c r="R443" i="1"/>
  <c r="R407" i="1"/>
  <c r="R296" i="1"/>
  <c r="R320" i="1"/>
  <c r="R510" i="1"/>
  <c r="R275" i="1"/>
  <c r="R58" i="1"/>
  <c r="R309" i="1"/>
  <c r="R65" i="1"/>
  <c r="R179" i="1"/>
  <c r="R23" i="1"/>
  <c r="R367" i="1"/>
  <c r="R314" i="1"/>
  <c r="R34" i="1"/>
  <c r="R95" i="1"/>
  <c r="R191" i="1"/>
  <c r="R161" i="1"/>
  <c r="R395" i="1"/>
  <c r="R207" i="1"/>
  <c r="R107" i="1"/>
  <c r="R327" i="1"/>
  <c r="R401" i="1"/>
  <c r="R47" i="1"/>
  <c r="R143" i="1"/>
  <c r="R479" i="1"/>
  <c r="A9" i="2" l="1"/>
  <c r="R77" i="1"/>
  <c r="R511" i="1"/>
  <c r="R379" i="1"/>
  <c r="R173" i="1"/>
  <c r="R297" i="1"/>
  <c r="R35" i="1"/>
  <c r="R291" i="1"/>
  <c r="S10" i="1"/>
  <c r="R11" i="1"/>
  <c r="T10" i="1"/>
  <c r="R59" i="1"/>
  <c r="R339" i="1"/>
  <c r="R535" i="1"/>
  <c r="R315" i="1"/>
  <c r="R321" i="1"/>
  <c r="R333" i="1"/>
  <c r="X1" i="1" l="1"/>
  <c r="E2" i="4" s="1"/>
  <c r="F2" i="4" s="1"/>
  <c r="B4" i="2"/>
  <c r="AO27" i="2"/>
  <c r="AO29" i="2"/>
  <c r="AO28" i="2"/>
  <c r="A10" i="2"/>
  <c r="S11" i="1"/>
  <c r="S12" i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I4" i="2" l="1"/>
  <c r="W3" i="2" s="1"/>
  <c r="F4" i="2"/>
  <c r="H4" i="2"/>
  <c r="E4" i="2"/>
  <c r="D4" i="2"/>
  <c r="U3" i="2" s="1"/>
  <c r="C4" i="2"/>
  <c r="AD4" i="2" s="1"/>
  <c r="AW4" i="2" s="1"/>
  <c r="A4" i="3" s="1"/>
  <c r="J4" i="2"/>
  <c r="Y3" i="2" s="1"/>
  <c r="G4" i="2"/>
  <c r="B5" i="2"/>
  <c r="AN28" i="2"/>
  <c r="AN29" i="2"/>
  <c r="AN27" i="2"/>
  <c r="A11" i="2"/>
  <c r="G5" i="2" l="1"/>
  <c r="H5" i="2"/>
  <c r="F5" i="2"/>
  <c r="D5" i="2"/>
  <c r="U4" i="2" s="1"/>
  <c r="B6" i="2"/>
  <c r="C5" i="2"/>
  <c r="AD5" i="2" s="1"/>
  <c r="AW5" i="2" s="1"/>
  <c r="A5" i="3" s="1"/>
  <c r="J5" i="2"/>
  <c r="Y4" i="2" s="1"/>
  <c r="E5" i="2"/>
  <c r="I5" i="2"/>
  <c r="W4" i="2" s="1"/>
  <c r="A12" i="2"/>
  <c r="E6" i="2" l="1"/>
  <c r="F6" i="2"/>
  <c r="D6" i="2"/>
  <c r="U5" i="2" s="1"/>
  <c r="C6" i="2"/>
  <c r="AD6" i="2" s="1"/>
  <c r="AW6" i="2" s="1"/>
  <c r="A6" i="3" s="1"/>
  <c r="H6" i="2"/>
  <c r="J6" i="2"/>
  <c r="Y5" i="2" s="1"/>
  <c r="B7" i="2"/>
  <c r="I6" i="2"/>
  <c r="W5" i="2" s="1"/>
  <c r="G6" i="2"/>
  <c r="A13" i="2"/>
  <c r="C7" i="2" l="1"/>
  <c r="AD7" i="2" s="1"/>
  <c r="AW7" i="2" s="1"/>
  <c r="A7" i="3" s="1"/>
  <c r="B8" i="2"/>
  <c r="J7" i="2"/>
  <c r="Y6" i="2" s="1"/>
  <c r="G7" i="2"/>
  <c r="F7" i="2"/>
  <c r="H7" i="2"/>
  <c r="E7" i="2"/>
  <c r="D7" i="2"/>
  <c r="U6" i="2" s="1"/>
  <c r="I7" i="2"/>
  <c r="W6" i="2" s="1"/>
  <c r="A14" i="2"/>
  <c r="J8" i="2" l="1"/>
  <c r="Y7" i="2" s="1"/>
  <c r="F8" i="2"/>
  <c r="G8" i="2"/>
  <c r="I8" i="2"/>
  <c r="W7" i="2" s="1"/>
  <c r="B9" i="2"/>
  <c r="C8" i="2"/>
  <c r="AD8" i="2" s="1"/>
  <c r="AW8" i="2" s="1"/>
  <c r="A8" i="3" s="1"/>
  <c r="H8" i="2"/>
  <c r="D8" i="2"/>
  <c r="U7" i="2" s="1"/>
  <c r="E8" i="2"/>
  <c r="BH28" i="2"/>
  <c r="BH12" i="2"/>
  <c r="BH27" i="2"/>
  <c r="BH11" i="2"/>
  <c r="BH10" i="2"/>
  <c r="BH26" i="2"/>
  <c r="A15" i="2"/>
  <c r="C9" i="2" l="1"/>
  <c r="AD9" i="2" s="1"/>
  <c r="AW9" i="2" s="1"/>
  <c r="A9" i="3" s="1"/>
  <c r="G9" i="2"/>
  <c r="F9" i="2"/>
  <c r="J9" i="2"/>
  <c r="Y8" i="2" s="1"/>
  <c r="Y20" i="2" s="1"/>
  <c r="B10" i="2"/>
  <c r="I9" i="2"/>
  <c r="W8" i="2" s="1"/>
  <c r="E9" i="2"/>
  <c r="H9" i="2"/>
  <c r="D9" i="2"/>
  <c r="U8" i="2" s="1"/>
  <c r="AA14" i="2" s="1"/>
  <c r="W20" i="2"/>
  <c r="W14" i="2"/>
  <c r="Y54" i="2"/>
  <c r="W53" i="2"/>
  <c r="W52" i="2"/>
  <c r="Y49" i="2"/>
  <c r="Y50" i="2"/>
  <c r="BG28" i="2"/>
  <c r="BG12" i="2"/>
  <c r="BF28" i="2"/>
  <c r="BF12" i="2"/>
  <c r="BF11" i="2"/>
  <c r="BF27" i="2"/>
  <c r="BG27" i="2"/>
  <c r="BG11" i="2"/>
  <c r="BG10" i="2"/>
  <c r="BG26" i="2"/>
  <c r="BE26" i="2"/>
  <c r="BE10" i="2"/>
  <c r="BF10" i="2"/>
  <c r="BF26" i="2"/>
  <c r="A16" i="2"/>
  <c r="W55" i="2" l="1"/>
  <c r="W49" i="2"/>
  <c r="W50" i="2"/>
  <c r="W51" i="2"/>
  <c r="G10" i="2"/>
  <c r="F10" i="2"/>
  <c r="I10" i="2"/>
  <c r="O2" i="2" s="1"/>
  <c r="J10" i="2"/>
  <c r="P2" i="2" s="1"/>
  <c r="B11" i="2"/>
  <c r="C10" i="2"/>
  <c r="AD10" i="2" s="1"/>
  <c r="AW10" i="2" s="1"/>
  <c r="A10" i="3" s="1"/>
  <c r="E10" i="2"/>
  <c r="D10" i="2"/>
  <c r="AK22" i="2" s="1"/>
  <c r="H10" i="2"/>
  <c r="W54" i="2"/>
  <c r="Y55" i="2"/>
  <c r="Y53" i="2"/>
  <c r="Y14" i="2"/>
  <c r="Y51" i="2"/>
  <c r="Y52" i="2"/>
  <c r="BE12" i="2"/>
  <c r="BE28" i="2"/>
  <c r="BE11" i="2"/>
  <c r="BE27" i="2"/>
  <c r="A17" i="2"/>
  <c r="J11" i="2" l="1"/>
  <c r="B12" i="2"/>
  <c r="I11" i="2"/>
  <c r="E11" i="2"/>
  <c r="D11" i="2"/>
  <c r="F11" i="2"/>
  <c r="H11" i="2"/>
  <c r="BK11" i="2" s="1"/>
  <c r="G11" i="2"/>
  <c r="BJ11" i="2" s="1"/>
  <c r="C11" i="2"/>
  <c r="AD11" i="2" s="1"/>
  <c r="AW11" i="2" s="1"/>
  <c r="A11" i="3" s="1"/>
  <c r="BK4" i="2"/>
  <c r="BK10" i="2"/>
  <c r="BK5" i="2"/>
  <c r="BK6" i="2"/>
  <c r="BK7" i="2"/>
  <c r="BK8" i="2"/>
  <c r="BJ10" i="2"/>
  <c r="BJ4" i="2"/>
  <c r="BJ5" i="2"/>
  <c r="BJ6" i="2"/>
  <c r="BJ7" i="2"/>
  <c r="BJ8" i="2"/>
  <c r="BK9" i="2"/>
  <c r="BJ9" i="2"/>
  <c r="A18" i="2"/>
  <c r="D12" i="2" l="1"/>
  <c r="I12" i="2"/>
  <c r="G12" i="2"/>
  <c r="BJ12" i="2" s="1"/>
  <c r="F12" i="2"/>
  <c r="B13" i="2"/>
  <c r="H12" i="2"/>
  <c r="BK12" i="2" s="1"/>
  <c r="E12" i="2"/>
  <c r="C12" i="2"/>
  <c r="AD12" i="2" s="1"/>
  <c r="AW12" i="2" s="1"/>
  <c r="A12" i="3" s="1"/>
  <c r="J12" i="2"/>
  <c r="A19" i="2"/>
  <c r="H13" i="2" l="1"/>
  <c r="BK13" i="2" s="1"/>
  <c r="I13" i="2"/>
  <c r="E13" i="2"/>
  <c r="D13" i="2"/>
  <c r="G13" i="2"/>
  <c r="BJ13" i="2" s="1"/>
  <c r="C13" i="2"/>
  <c r="AD13" i="2" s="1"/>
  <c r="AW13" i="2" s="1"/>
  <c r="A13" i="3" s="1"/>
  <c r="F13" i="2"/>
  <c r="B14" i="2"/>
  <c r="J13" i="2"/>
  <c r="A20" i="2"/>
  <c r="D14" i="2" l="1"/>
  <c r="G14" i="2"/>
  <c r="BJ14" i="2" s="1"/>
  <c r="J14" i="2"/>
  <c r="B15" i="2"/>
  <c r="F14" i="2"/>
  <c r="I14" i="2"/>
  <c r="H14" i="2"/>
  <c r="BK14" i="2" s="1"/>
  <c r="E14" i="2"/>
  <c r="C14" i="2"/>
  <c r="AD14" i="2" s="1"/>
  <c r="AW14" i="2" s="1"/>
  <c r="A14" i="3" s="1"/>
  <c r="A21" i="2"/>
  <c r="C15" i="2" l="1"/>
  <c r="AD15" i="2" s="1"/>
  <c r="AW15" i="2" s="1"/>
  <c r="A15" i="3" s="1"/>
  <c r="I15" i="2"/>
  <c r="G15" i="2"/>
  <c r="BJ15" i="2" s="1"/>
  <c r="H15" i="2"/>
  <c r="BK15" i="2" s="1"/>
  <c r="F15" i="2"/>
  <c r="D15" i="2"/>
  <c r="B16" i="2"/>
  <c r="J15" i="2"/>
  <c r="E15" i="2"/>
  <c r="A22" i="2"/>
  <c r="D16" i="2" l="1"/>
  <c r="G16" i="2"/>
  <c r="BJ16" i="2" s="1"/>
  <c r="J16" i="2"/>
  <c r="E16" i="2"/>
  <c r="H16" i="2"/>
  <c r="BK16" i="2" s="1"/>
  <c r="B17" i="2"/>
  <c r="C16" i="2"/>
  <c r="AD16" i="2" s="1"/>
  <c r="AW16" i="2" s="1"/>
  <c r="A16" i="3" s="1"/>
  <c r="F16" i="2"/>
  <c r="I16" i="2"/>
  <c r="A23" i="2"/>
  <c r="F17" i="2" l="1"/>
  <c r="H17" i="2"/>
  <c r="BK17" i="2" s="1"/>
  <c r="D17" i="2"/>
  <c r="G17" i="2"/>
  <c r="BJ17" i="2" s="1"/>
  <c r="B18" i="2"/>
  <c r="C17" i="2"/>
  <c r="AD17" i="2" s="1"/>
  <c r="AW17" i="2" s="1"/>
  <c r="A17" i="3" s="1"/>
  <c r="J17" i="2"/>
  <c r="E17" i="2"/>
  <c r="I17" i="2"/>
  <c r="A24" i="2"/>
  <c r="E18" i="2" l="1"/>
  <c r="H18" i="2"/>
  <c r="BK18" i="2" s="1"/>
  <c r="G18" i="2"/>
  <c r="BJ18" i="2" s="1"/>
  <c r="B19" i="2"/>
  <c r="F18" i="2"/>
  <c r="C18" i="2"/>
  <c r="AD18" i="2" s="1"/>
  <c r="AW18" i="2" s="1"/>
  <c r="A18" i="3" s="1"/>
  <c r="D18" i="2"/>
  <c r="J18" i="2"/>
  <c r="I18" i="2"/>
  <c r="A25" i="2"/>
  <c r="E19" i="2" l="1"/>
  <c r="I19" i="2"/>
  <c r="J19" i="2"/>
  <c r="G19" i="2"/>
  <c r="BJ19" i="2" s="1"/>
  <c r="C19" i="2"/>
  <c r="AD19" i="2" s="1"/>
  <c r="AW19" i="2" s="1"/>
  <c r="A19" i="3" s="1"/>
  <c r="D19" i="2"/>
  <c r="F19" i="2"/>
  <c r="H19" i="2"/>
  <c r="BK19" i="2" s="1"/>
  <c r="B20" i="2"/>
  <c r="A26" i="2"/>
  <c r="E20" i="2" l="1"/>
  <c r="F20" i="2"/>
  <c r="D20" i="2"/>
  <c r="H20" i="2"/>
  <c r="BK20" i="2" s="1"/>
  <c r="I20" i="2"/>
  <c r="B21" i="2"/>
  <c r="C20" i="2"/>
  <c r="AD20" i="2" s="1"/>
  <c r="AW20" i="2" s="1"/>
  <c r="A20" i="3" s="1"/>
  <c r="J20" i="2"/>
  <c r="G20" i="2"/>
  <c r="BJ20" i="2" s="1"/>
  <c r="A27" i="2"/>
  <c r="F21" i="2" l="1"/>
  <c r="E21" i="2"/>
  <c r="C21" i="2"/>
  <c r="AD21" i="2" s="1"/>
  <c r="AW21" i="2" s="1"/>
  <c r="A21" i="3" s="1"/>
  <c r="I21" i="2"/>
  <c r="H21" i="2"/>
  <c r="BK21" i="2" s="1"/>
  <c r="D21" i="2"/>
  <c r="B22" i="2"/>
  <c r="G21" i="2"/>
  <c r="BJ21" i="2" s="1"/>
  <c r="J21" i="2"/>
  <c r="A28" i="2"/>
  <c r="E22" i="2" l="1"/>
  <c r="G22" i="2"/>
  <c r="BJ22" i="2" s="1"/>
  <c r="F22" i="2"/>
  <c r="B23" i="2"/>
  <c r="H22" i="2"/>
  <c r="BK22" i="2" s="1"/>
  <c r="J22" i="2"/>
  <c r="C22" i="2"/>
  <c r="AD22" i="2" s="1"/>
  <c r="AW22" i="2" s="1"/>
  <c r="A22" i="3" s="1"/>
  <c r="D22" i="2"/>
  <c r="I22" i="2"/>
  <c r="A29" i="2"/>
  <c r="C23" i="2" l="1"/>
  <c r="AD23" i="2" s="1"/>
  <c r="AW23" i="2" s="1"/>
  <c r="A23" i="3" s="1"/>
  <c r="I23" i="2"/>
  <c r="B24" i="2"/>
  <c r="J23" i="2"/>
  <c r="H23" i="2"/>
  <c r="BK23" i="2" s="1"/>
  <c r="D23" i="2"/>
  <c r="G23" i="2"/>
  <c r="BJ23" i="2" s="1"/>
  <c r="E23" i="2"/>
  <c r="F23" i="2"/>
  <c r="A30" i="2"/>
  <c r="J24" i="2" l="1"/>
  <c r="G24" i="2"/>
  <c r="BJ24" i="2" s="1"/>
  <c r="C24" i="2"/>
  <c r="AD24" i="2" s="1"/>
  <c r="AW24" i="2" s="1"/>
  <c r="A24" i="3" s="1"/>
  <c r="I24" i="2"/>
  <c r="E24" i="2"/>
  <c r="F24" i="2"/>
  <c r="D24" i="2"/>
  <c r="B25" i="2"/>
  <c r="H24" i="2"/>
  <c r="BK24" i="2" s="1"/>
  <c r="A31" i="2"/>
  <c r="J25" i="2" l="1"/>
  <c r="P3" i="2" s="1"/>
  <c r="D25" i="2"/>
  <c r="AK23" i="2" s="1"/>
  <c r="I25" i="2"/>
  <c r="O3" i="2" s="1"/>
  <c r="G25" i="2"/>
  <c r="BJ25" i="2" s="1"/>
  <c r="B26" i="2"/>
  <c r="E25" i="2"/>
  <c r="F25" i="2"/>
  <c r="C25" i="2"/>
  <c r="AD25" i="2" s="1"/>
  <c r="AW25" i="2" s="1"/>
  <c r="A25" i="3" s="1"/>
  <c r="H25" i="2"/>
  <c r="BK25" i="2" s="1"/>
  <c r="A32" i="2"/>
  <c r="G26" i="2" l="1"/>
  <c r="BJ26" i="2" s="1"/>
  <c r="E26" i="2"/>
  <c r="J26" i="2"/>
  <c r="I26" i="2"/>
  <c r="C26" i="2"/>
  <c r="AD26" i="2" s="1"/>
  <c r="AW26" i="2" s="1"/>
  <c r="A26" i="3" s="1"/>
  <c r="D26" i="2"/>
  <c r="B27" i="2"/>
  <c r="F26" i="2"/>
  <c r="H26" i="2"/>
  <c r="BK26" i="2" s="1"/>
  <c r="A33" i="2"/>
  <c r="J27" i="2" l="1"/>
  <c r="I27" i="2"/>
  <c r="H27" i="2"/>
  <c r="BK27" i="2" s="1"/>
  <c r="C27" i="2"/>
  <c r="AD27" i="2" s="1"/>
  <c r="AW27" i="2" s="1"/>
  <c r="A27" i="3" s="1"/>
  <c r="E27" i="2"/>
  <c r="D27" i="2"/>
  <c r="G27" i="2"/>
  <c r="BJ27" i="2" s="1"/>
  <c r="B28" i="2"/>
  <c r="F27" i="2"/>
  <c r="A34" i="2"/>
  <c r="D28" i="2" l="1"/>
  <c r="C28" i="2"/>
  <c r="AD28" i="2" s="1"/>
  <c r="AW28" i="2" s="1"/>
  <c r="A28" i="3" s="1"/>
  <c r="E28" i="2"/>
  <c r="B29" i="2"/>
  <c r="G28" i="2"/>
  <c r="BJ28" i="2" s="1"/>
  <c r="J28" i="2"/>
  <c r="F28" i="2"/>
  <c r="H28" i="2"/>
  <c r="BK28" i="2" s="1"/>
  <c r="I28" i="2"/>
  <c r="A35" i="2"/>
  <c r="H29" i="2" l="1"/>
  <c r="BK29" i="2" s="1"/>
  <c r="F29" i="2"/>
  <c r="J29" i="2"/>
  <c r="I29" i="2"/>
  <c r="E29" i="2"/>
  <c r="G29" i="2"/>
  <c r="BJ29" i="2" s="1"/>
  <c r="D29" i="2"/>
  <c r="C29" i="2"/>
  <c r="AD29" i="2" s="1"/>
  <c r="AW29" i="2" s="1"/>
  <c r="A29" i="3" s="1"/>
  <c r="B30" i="2"/>
  <c r="A36" i="2"/>
  <c r="D30" i="2" l="1"/>
  <c r="J30" i="2"/>
  <c r="I30" i="2"/>
  <c r="E30" i="2"/>
  <c r="C30" i="2"/>
  <c r="AD30" i="2" s="1"/>
  <c r="AW30" i="2" s="1"/>
  <c r="A30" i="3" s="1"/>
  <c r="B31" i="2"/>
  <c r="G30" i="2"/>
  <c r="BJ30" i="2" s="1"/>
  <c r="H30" i="2"/>
  <c r="BK30" i="2" s="1"/>
  <c r="F30" i="2"/>
  <c r="A37" i="2"/>
  <c r="G31" i="2" l="1"/>
  <c r="BJ31" i="2" s="1"/>
  <c r="H31" i="2"/>
  <c r="BK31" i="2" s="1"/>
  <c r="F31" i="2"/>
  <c r="J31" i="2"/>
  <c r="I31" i="2"/>
  <c r="C31" i="2"/>
  <c r="AD31" i="2" s="1"/>
  <c r="AW31" i="2" s="1"/>
  <c r="A31" i="3" s="1"/>
  <c r="E31" i="2"/>
  <c r="D31" i="2"/>
  <c r="B32" i="2"/>
  <c r="A38" i="2"/>
  <c r="E32" i="2" l="1"/>
  <c r="I32" i="2"/>
  <c r="B33" i="2"/>
  <c r="J32" i="2"/>
  <c r="D32" i="2"/>
  <c r="F32" i="2"/>
  <c r="H32" i="2"/>
  <c r="BK32" i="2" s="1"/>
  <c r="G32" i="2"/>
  <c r="BJ32" i="2" s="1"/>
  <c r="C32" i="2"/>
  <c r="AD32" i="2" s="1"/>
  <c r="AW32" i="2" s="1"/>
  <c r="A32" i="3" s="1"/>
  <c r="A39" i="2"/>
  <c r="G33" i="2" l="1"/>
  <c r="BJ33" i="2" s="1"/>
  <c r="E33" i="2"/>
  <c r="H33" i="2"/>
  <c r="BK33" i="2" s="1"/>
  <c r="B34" i="2"/>
  <c r="C33" i="2"/>
  <c r="AD33" i="2" s="1"/>
  <c r="AW33" i="2" s="1"/>
  <c r="A33" i="3" s="1"/>
  <c r="D33" i="2"/>
  <c r="F33" i="2"/>
  <c r="I33" i="2"/>
  <c r="J33" i="2"/>
  <c r="A40" i="2"/>
  <c r="F34" i="2" l="1"/>
  <c r="J34" i="2"/>
  <c r="G34" i="2"/>
  <c r="BJ34" i="2" s="1"/>
  <c r="H34" i="2"/>
  <c r="BK34" i="2" s="1"/>
  <c r="I34" i="2"/>
  <c r="B35" i="2"/>
  <c r="E34" i="2"/>
  <c r="C34" i="2"/>
  <c r="AD34" i="2" s="1"/>
  <c r="AW34" i="2" s="1"/>
  <c r="A34" i="3" s="1"/>
  <c r="D34" i="2"/>
  <c r="A41" i="2"/>
  <c r="H35" i="2" l="1"/>
  <c r="BK35" i="2" s="1"/>
  <c r="E35" i="2"/>
  <c r="D35" i="2"/>
  <c r="C35" i="2"/>
  <c r="AD35" i="2" s="1"/>
  <c r="AW35" i="2" s="1"/>
  <c r="A35" i="3" s="1"/>
  <c r="B36" i="2"/>
  <c r="I35" i="2"/>
  <c r="J35" i="2"/>
  <c r="G35" i="2"/>
  <c r="BJ35" i="2" s="1"/>
  <c r="F35" i="2"/>
  <c r="A42" i="2"/>
  <c r="C36" i="2" l="1"/>
  <c r="AD36" i="2" s="1"/>
  <c r="AW36" i="2" s="1"/>
  <c r="A36" i="3" s="1"/>
  <c r="J36" i="2"/>
  <c r="E36" i="2"/>
  <c r="H36" i="2"/>
  <c r="BK36" i="2" s="1"/>
  <c r="G36" i="2"/>
  <c r="BJ36" i="2" s="1"/>
  <c r="I36" i="2"/>
  <c r="D36" i="2"/>
  <c r="B37" i="2"/>
  <c r="F36" i="2"/>
  <c r="A43" i="2"/>
  <c r="J37" i="2" l="1"/>
  <c r="P4" i="2" s="1"/>
  <c r="D37" i="2"/>
  <c r="AK24" i="2" s="1"/>
  <c r="B38" i="2"/>
  <c r="F37" i="2"/>
  <c r="C37" i="2"/>
  <c r="AD37" i="2" s="1"/>
  <c r="AW37" i="2" s="1"/>
  <c r="A37" i="3" s="1"/>
  <c r="G37" i="2"/>
  <c r="BJ37" i="2" s="1"/>
  <c r="I37" i="2"/>
  <c r="O4" i="2" s="1"/>
  <c r="E37" i="2"/>
  <c r="H37" i="2"/>
  <c r="BK37" i="2" s="1"/>
  <c r="A44" i="2"/>
  <c r="F38" i="2" l="1"/>
  <c r="C38" i="2"/>
  <c r="AD38" i="2" s="1"/>
  <c r="AW38" i="2" s="1"/>
  <c r="A38" i="3" s="1"/>
  <c r="E38" i="2"/>
  <c r="I38" i="2"/>
  <c r="D38" i="2"/>
  <c r="H38" i="2"/>
  <c r="BK38" i="2" s="1"/>
  <c r="G38" i="2"/>
  <c r="BJ38" i="2" s="1"/>
  <c r="B39" i="2"/>
  <c r="J38" i="2"/>
  <c r="A45" i="2"/>
  <c r="C39" i="2" l="1"/>
  <c r="AD39" i="2" s="1"/>
  <c r="AW39" i="2" s="1"/>
  <c r="A39" i="3" s="1"/>
  <c r="I39" i="2"/>
  <c r="B40" i="2"/>
  <c r="J39" i="2"/>
  <c r="H39" i="2"/>
  <c r="BK39" i="2" s="1"/>
  <c r="G39" i="2"/>
  <c r="BJ39" i="2" s="1"/>
  <c r="E39" i="2"/>
  <c r="D39" i="2"/>
  <c r="F39" i="2"/>
  <c r="A46" i="2"/>
  <c r="J40" i="2" l="1"/>
  <c r="B41" i="2"/>
  <c r="I40" i="2"/>
  <c r="G40" i="2"/>
  <c r="BJ40" i="2" s="1"/>
  <c r="F40" i="2"/>
  <c r="C40" i="2"/>
  <c r="AD40" i="2" s="1"/>
  <c r="AW40" i="2" s="1"/>
  <c r="A40" i="3" s="1"/>
  <c r="E40" i="2"/>
  <c r="H40" i="2"/>
  <c r="BK40" i="2" s="1"/>
  <c r="D40" i="2"/>
  <c r="A47" i="2"/>
  <c r="I41" i="2" l="1"/>
  <c r="H41" i="2"/>
  <c r="BK41" i="2" s="1"/>
  <c r="J41" i="2"/>
  <c r="F41" i="2"/>
  <c r="C41" i="2"/>
  <c r="AD41" i="2" s="1"/>
  <c r="AW41" i="2" s="1"/>
  <c r="A41" i="3" s="1"/>
  <c r="B42" i="2"/>
  <c r="G41" i="2"/>
  <c r="BJ41" i="2" s="1"/>
  <c r="E41" i="2"/>
  <c r="D41" i="2"/>
  <c r="A48" i="2"/>
  <c r="E42" i="2" l="1"/>
  <c r="F42" i="2"/>
  <c r="C42" i="2"/>
  <c r="AD42" i="2" s="1"/>
  <c r="AW42" i="2" s="1"/>
  <c r="A42" i="3" s="1"/>
  <c r="D42" i="2"/>
  <c r="J42" i="2"/>
  <c r="H42" i="2"/>
  <c r="BK42" i="2" s="1"/>
  <c r="G42" i="2"/>
  <c r="BJ42" i="2" s="1"/>
  <c r="B43" i="2"/>
  <c r="I42" i="2"/>
  <c r="A49" i="2"/>
  <c r="I43" i="2" l="1"/>
  <c r="F43" i="2"/>
  <c r="D43" i="2"/>
  <c r="B44" i="2"/>
  <c r="G43" i="2"/>
  <c r="BJ43" i="2" s="1"/>
  <c r="C43" i="2"/>
  <c r="AD43" i="2" s="1"/>
  <c r="AW43" i="2" s="1"/>
  <c r="A43" i="3" s="1"/>
  <c r="H43" i="2"/>
  <c r="BK43" i="2" s="1"/>
  <c r="J43" i="2"/>
  <c r="E43" i="2"/>
  <c r="A50" i="2"/>
  <c r="J44" i="2" l="1"/>
  <c r="C44" i="2"/>
  <c r="AD44" i="2" s="1"/>
  <c r="AW44" i="2" s="1"/>
  <c r="A44" i="3" s="1"/>
  <c r="D44" i="2"/>
  <c r="I44" i="2"/>
  <c r="F44" i="2"/>
  <c r="G44" i="2"/>
  <c r="BJ44" i="2" s="1"/>
  <c r="E44" i="2"/>
  <c r="B45" i="2"/>
  <c r="H44" i="2"/>
  <c r="BK44" i="2" s="1"/>
  <c r="A51" i="2"/>
  <c r="J45" i="2" l="1"/>
  <c r="C45" i="2"/>
  <c r="AD45" i="2" s="1"/>
  <c r="AW45" i="2" s="1"/>
  <c r="A45" i="3" s="1"/>
  <c r="H45" i="2"/>
  <c r="BK45" i="2" s="1"/>
  <c r="B46" i="2"/>
  <c r="G45" i="2"/>
  <c r="BJ45" i="2" s="1"/>
  <c r="D45" i="2"/>
  <c r="E45" i="2"/>
  <c r="I45" i="2"/>
  <c r="F45" i="2"/>
  <c r="A52" i="2"/>
  <c r="I46" i="2" l="1"/>
  <c r="F46" i="2"/>
  <c r="E46" i="2"/>
  <c r="H46" i="2"/>
  <c r="BK46" i="2" s="1"/>
  <c r="C46" i="2"/>
  <c r="AD46" i="2" s="1"/>
  <c r="AW46" i="2" s="1"/>
  <c r="A46" i="3" s="1"/>
  <c r="G46" i="2"/>
  <c r="BJ46" i="2" s="1"/>
  <c r="B47" i="2"/>
  <c r="D46" i="2"/>
  <c r="J46" i="2"/>
  <c r="A53" i="2"/>
  <c r="D47" i="2" l="1"/>
  <c r="B48" i="2"/>
  <c r="E47" i="2"/>
  <c r="C47" i="2"/>
  <c r="AD47" i="2" s="1"/>
  <c r="AW47" i="2" s="1"/>
  <c r="A47" i="3" s="1"/>
  <c r="H47" i="2"/>
  <c r="BK47" i="2" s="1"/>
  <c r="I47" i="2"/>
  <c r="J47" i="2"/>
  <c r="G47" i="2"/>
  <c r="BJ47" i="2" s="1"/>
  <c r="F47" i="2"/>
  <c r="A54" i="2"/>
  <c r="D48" i="2" l="1"/>
  <c r="J48" i="2"/>
  <c r="H48" i="2"/>
  <c r="BK48" i="2" s="1"/>
  <c r="G48" i="2"/>
  <c r="BJ48" i="2" s="1"/>
  <c r="E48" i="2"/>
  <c r="B49" i="2"/>
  <c r="C48" i="2"/>
  <c r="AD48" i="2" s="1"/>
  <c r="AW48" i="2" s="1"/>
  <c r="A48" i="3" s="1"/>
  <c r="I48" i="2"/>
  <c r="F48" i="2"/>
  <c r="A55" i="2"/>
  <c r="I49" i="2" l="1"/>
  <c r="E49" i="2"/>
  <c r="J49" i="2"/>
  <c r="F49" i="2"/>
  <c r="H49" i="2"/>
  <c r="BK49" i="2" s="1"/>
  <c r="B50" i="2"/>
  <c r="G49" i="2"/>
  <c r="BJ49" i="2" s="1"/>
  <c r="D49" i="2"/>
  <c r="C49" i="2"/>
  <c r="AD49" i="2" s="1"/>
  <c r="AW49" i="2" s="1"/>
  <c r="A49" i="3" s="1"/>
  <c r="A56" i="2"/>
  <c r="C50" i="2" l="1"/>
  <c r="AD50" i="2" s="1"/>
  <c r="AW50" i="2" s="1"/>
  <c r="A50" i="3" s="1"/>
  <c r="G50" i="2"/>
  <c r="BJ50" i="2" s="1"/>
  <c r="J50" i="2"/>
  <c r="F50" i="2"/>
  <c r="E50" i="2"/>
  <c r="D50" i="2"/>
  <c r="I50" i="2"/>
  <c r="H50" i="2"/>
  <c r="BK50" i="2" s="1"/>
  <c r="B51" i="2"/>
  <c r="A57" i="2"/>
  <c r="J51" i="2" l="1"/>
  <c r="B52" i="2"/>
  <c r="D51" i="2"/>
  <c r="I51" i="2"/>
  <c r="G51" i="2"/>
  <c r="BJ51" i="2" s="1"/>
  <c r="H51" i="2"/>
  <c r="BK51" i="2" s="1"/>
  <c r="F51" i="2"/>
  <c r="C51" i="2"/>
  <c r="AD51" i="2" s="1"/>
  <c r="AW51" i="2" s="1"/>
  <c r="A51" i="3" s="1"/>
  <c r="E51" i="2"/>
  <c r="A58" i="2"/>
  <c r="D52" i="2" l="1"/>
  <c r="H52" i="2"/>
  <c r="BK52" i="2" s="1"/>
  <c r="F52" i="2"/>
  <c r="B53" i="2"/>
  <c r="E52" i="2"/>
  <c r="C52" i="2"/>
  <c r="AD52" i="2" s="1"/>
  <c r="AW52" i="2" s="1"/>
  <c r="A52" i="3" s="1"/>
  <c r="I52" i="2"/>
  <c r="J52" i="2"/>
  <c r="G52" i="2"/>
  <c r="BJ52" i="2" s="1"/>
  <c r="A59" i="2"/>
  <c r="H53" i="2" l="1"/>
  <c r="BK53" i="2" s="1"/>
  <c r="J53" i="2"/>
  <c r="F53" i="2"/>
  <c r="E53" i="2"/>
  <c r="C53" i="2"/>
  <c r="AD53" i="2" s="1"/>
  <c r="AW53" i="2" s="1"/>
  <c r="A53" i="3" s="1"/>
  <c r="I53" i="2"/>
  <c r="G53" i="2"/>
  <c r="BJ53" i="2" s="1"/>
  <c r="D53" i="2"/>
  <c r="B54" i="2"/>
  <c r="A60" i="2"/>
  <c r="E54" i="2" l="1"/>
  <c r="G54" i="2"/>
  <c r="BJ54" i="2" s="1"/>
  <c r="C54" i="2"/>
  <c r="AD54" i="2" s="1"/>
  <c r="AW54" i="2" s="1"/>
  <c r="A54" i="3" s="1"/>
  <c r="F54" i="2"/>
  <c r="J54" i="2"/>
  <c r="D54" i="2"/>
  <c r="I54" i="2"/>
  <c r="B55" i="2"/>
  <c r="H54" i="2"/>
  <c r="BK54" i="2" s="1"/>
  <c r="A61" i="2"/>
  <c r="H55" i="2" l="1"/>
  <c r="BK55" i="2" s="1"/>
  <c r="J55" i="2"/>
  <c r="I55" i="2"/>
  <c r="G55" i="2"/>
  <c r="BJ55" i="2" s="1"/>
  <c r="C55" i="2"/>
  <c r="AD55" i="2" s="1"/>
  <c r="AW55" i="2" s="1"/>
  <c r="A55" i="3" s="1"/>
  <c r="B56" i="2"/>
  <c r="D55" i="2"/>
  <c r="F55" i="2"/>
  <c r="E55" i="2"/>
  <c r="A62" i="2"/>
  <c r="J56" i="2" l="1"/>
  <c r="C56" i="2"/>
  <c r="AD56" i="2" s="1"/>
  <c r="AW56" i="2" s="1"/>
  <c r="A56" i="3" s="1"/>
  <c r="F56" i="2"/>
  <c r="H56" i="2"/>
  <c r="BK56" i="2" s="1"/>
  <c r="I56" i="2"/>
  <c r="B57" i="2"/>
  <c r="E56" i="2"/>
  <c r="D56" i="2"/>
  <c r="G56" i="2"/>
  <c r="BJ56" i="2" s="1"/>
  <c r="A63" i="2"/>
  <c r="J57" i="2" l="1"/>
  <c r="D57" i="2"/>
  <c r="B58" i="2"/>
  <c r="G57" i="2"/>
  <c r="BJ57" i="2" s="1"/>
  <c r="C57" i="2"/>
  <c r="AD57" i="2" s="1"/>
  <c r="AW57" i="2" s="1"/>
  <c r="A57" i="3" s="1"/>
  <c r="I57" i="2"/>
  <c r="E57" i="2"/>
  <c r="F57" i="2"/>
  <c r="H57" i="2"/>
  <c r="BK57" i="2" s="1"/>
  <c r="A64" i="2"/>
  <c r="H58" i="2" l="1"/>
  <c r="BK58" i="2" s="1"/>
  <c r="I58" i="2"/>
  <c r="B59" i="2"/>
  <c r="E58" i="2"/>
  <c r="F58" i="2"/>
  <c r="C58" i="2"/>
  <c r="AD58" i="2" s="1"/>
  <c r="AW58" i="2" s="1"/>
  <c r="A58" i="3" s="1"/>
  <c r="G58" i="2"/>
  <c r="BJ58" i="2" s="1"/>
  <c r="D58" i="2"/>
  <c r="J58" i="2"/>
  <c r="A65" i="2"/>
  <c r="E59" i="2" l="1"/>
  <c r="B60" i="2"/>
  <c r="J59" i="2"/>
  <c r="H59" i="2"/>
  <c r="BK59" i="2" s="1"/>
  <c r="I59" i="2"/>
  <c r="G59" i="2"/>
  <c r="BJ59" i="2" s="1"/>
  <c r="C59" i="2"/>
  <c r="AD59" i="2" s="1"/>
  <c r="AW59" i="2" s="1"/>
  <c r="A59" i="3" s="1"/>
  <c r="F59" i="2"/>
  <c r="D59" i="2"/>
  <c r="A66" i="2"/>
  <c r="J60" i="2" l="1"/>
  <c r="C60" i="2"/>
  <c r="AD60" i="2" s="1"/>
  <c r="AW60" i="2" s="1"/>
  <c r="A60" i="3" s="1"/>
  <c r="E60" i="2"/>
  <c r="I60" i="2"/>
  <c r="F60" i="2"/>
  <c r="H60" i="2"/>
  <c r="BK60" i="2" s="1"/>
  <c r="G60" i="2"/>
  <c r="BJ60" i="2" s="1"/>
  <c r="B61" i="2"/>
  <c r="D60" i="2"/>
  <c r="A67" i="2"/>
  <c r="C61" i="2" l="1"/>
  <c r="AD61" i="2" s="1"/>
  <c r="AW61" i="2" s="1"/>
  <c r="A61" i="3" s="1"/>
  <c r="J61" i="2"/>
  <c r="I61" i="2"/>
  <c r="E61" i="2"/>
  <c r="B62" i="2"/>
  <c r="G61" i="2"/>
  <c r="BJ61" i="2" s="1"/>
  <c r="F61" i="2"/>
  <c r="H61" i="2"/>
  <c r="BK61" i="2" s="1"/>
  <c r="D61" i="2"/>
  <c r="A68" i="2"/>
  <c r="G62" i="2" l="1"/>
  <c r="BJ62" i="2" s="1"/>
  <c r="C62" i="2"/>
  <c r="AD62" i="2" s="1"/>
  <c r="AW62" i="2" s="1"/>
  <c r="A62" i="3" s="1"/>
  <c r="I62" i="2"/>
  <c r="B63" i="2"/>
  <c r="J62" i="2"/>
  <c r="F62" i="2"/>
  <c r="D62" i="2"/>
  <c r="E62" i="2"/>
  <c r="H62" i="2"/>
  <c r="BK62" i="2" s="1"/>
  <c r="A69" i="2"/>
  <c r="E63" i="2" l="1"/>
  <c r="D63" i="2"/>
  <c r="J63" i="2"/>
  <c r="F63" i="2"/>
  <c r="C63" i="2"/>
  <c r="AD63" i="2" s="1"/>
  <c r="AW63" i="2" s="1"/>
  <c r="A63" i="3" s="1"/>
  <c r="G63" i="2"/>
  <c r="BJ63" i="2" s="1"/>
  <c r="I63" i="2"/>
  <c r="B64" i="2"/>
  <c r="H63" i="2"/>
  <c r="BK63" i="2" s="1"/>
  <c r="A70" i="2"/>
  <c r="J64" i="2" l="1"/>
  <c r="B65" i="2"/>
  <c r="E64" i="2"/>
  <c r="D64" i="2"/>
  <c r="G64" i="2"/>
  <c r="BJ64" i="2" s="1"/>
  <c r="F64" i="2"/>
  <c r="H64" i="2"/>
  <c r="BK64" i="2" s="1"/>
  <c r="C64" i="2"/>
  <c r="AD64" i="2" s="1"/>
  <c r="AW64" i="2" s="1"/>
  <c r="A64" i="3" s="1"/>
  <c r="I64" i="2"/>
  <c r="A71" i="2"/>
  <c r="F65" i="2" l="1"/>
  <c r="J65" i="2"/>
  <c r="B66" i="2"/>
  <c r="E65" i="2"/>
  <c r="G65" i="2"/>
  <c r="BJ65" i="2" s="1"/>
  <c r="I65" i="2"/>
  <c r="D65" i="2"/>
  <c r="C65" i="2"/>
  <c r="AD65" i="2" s="1"/>
  <c r="AW65" i="2" s="1"/>
  <c r="A65" i="3" s="1"/>
  <c r="H65" i="2"/>
  <c r="BK65" i="2" s="1"/>
  <c r="A72" i="2"/>
  <c r="E66" i="2" l="1"/>
  <c r="B67" i="2"/>
  <c r="H66" i="2"/>
  <c r="BK66" i="2" s="1"/>
  <c r="F66" i="2"/>
  <c r="G66" i="2"/>
  <c r="BJ66" i="2" s="1"/>
  <c r="D66" i="2"/>
  <c r="C66" i="2"/>
  <c r="AD66" i="2" s="1"/>
  <c r="AW66" i="2" s="1"/>
  <c r="A66" i="3" s="1"/>
  <c r="J66" i="2"/>
  <c r="I66" i="2"/>
  <c r="A73" i="2"/>
  <c r="H67" i="2" l="1"/>
  <c r="BK67" i="2" s="1"/>
  <c r="D67" i="2"/>
  <c r="I67" i="2"/>
  <c r="E67" i="2"/>
  <c r="J67" i="2"/>
  <c r="B68" i="2"/>
  <c r="G67" i="2"/>
  <c r="BJ67" i="2" s="1"/>
  <c r="C67" i="2"/>
  <c r="AD67" i="2" s="1"/>
  <c r="AW67" i="2" s="1"/>
  <c r="A67" i="3" s="1"/>
  <c r="F67" i="2"/>
  <c r="A74" i="2"/>
  <c r="J68" i="2" l="1"/>
  <c r="I68" i="2"/>
  <c r="C68" i="2"/>
  <c r="AD68" i="2" s="1"/>
  <c r="AW68" i="2" s="1"/>
  <c r="A68" i="3" s="1"/>
  <c r="D68" i="2"/>
  <c r="F68" i="2"/>
  <c r="H68" i="2"/>
  <c r="BK68" i="2" s="1"/>
  <c r="G68" i="2"/>
  <c r="BJ68" i="2" s="1"/>
  <c r="E68" i="2"/>
  <c r="B69" i="2"/>
  <c r="A75" i="2"/>
  <c r="D69" i="2" l="1"/>
  <c r="F69" i="2"/>
  <c r="I69" i="2"/>
  <c r="B70" i="2"/>
  <c r="C69" i="2"/>
  <c r="AD69" i="2" s="1"/>
  <c r="AW69" i="2" s="1"/>
  <c r="A69" i="3" s="1"/>
  <c r="E69" i="2"/>
  <c r="J69" i="2"/>
  <c r="H69" i="2"/>
  <c r="BK69" i="2" s="1"/>
  <c r="G69" i="2"/>
  <c r="BJ69" i="2" s="1"/>
  <c r="A76" i="2"/>
  <c r="F70" i="2" l="1"/>
  <c r="H70" i="2"/>
  <c r="BK70" i="2" s="1"/>
  <c r="G70" i="2"/>
  <c r="BJ70" i="2" s="1"/>
  <c r="D70" i="2"/>
  <c r="E70" i="2"/>
  <c r="C70" i="2"/>
  <c r="AD70" i="2" s="1"/>
  <c r="AW70" i="2" s="1"/>
  <c r="A70" i="3" s="1"/>
  <c r="I70" i="2"/>
  <c r="B71" i="2"/>
  <c r="J70" i="2"/>
  <c r="A77" i="2"/>
  <c r="C71" i="2" l="1"/>
  <c r="AD71" i="2" s="1"/>
  <c r="AW71" i="2" s="1"/>
  <c r="A71" i="3" s="1"/>
  <c r="H71" i="2"/>
  <c r="BK71" i="2" s="1"/>
  <c r="D71" i="2"/>
  <c r="F71" i="2"/>
  <c r="B72" i="2"/>
  <c r="I71" i="2"/>
  <c r="G71" i="2"/>
  <c r="BJ71" i="2" s="1"/>
  <c r="J71" i="2"/>
  <c r="E71" i="2"/>
  <c r="A78" i="2"/>
  <c r="F72" i="2" l="1"/>
  <c r="G72" i="2"/>
  <c r="BJ72" i="2" s="1"/>
  <c r="D72" i="2"/>
  <c r="B73" i="2"/>
  <c r="H72" i="2"/>
  <c r="BK72" i="2" s="1"/>
  <c r="C72" i="2"/>
  <c r="AD72" i="2" s="1"/>
  <c r="AW72" i="2" s="1"/>
  <c r="A72" i="3" s="1"/>
  <c r="J72" i="2"/>
  <c r="I72" i="2"/>
  <c r="E72" i="2"/>
  <c r="A79" i="2"/>
  <c r="E73" i="2" l="1"/>
  <c r="F73" i="2"/>
  <c r="B74" i="2"/>
  <c r="C73" i="2"/>
  <c r="AD73" i="2" s="1"/>
  <c r="AW73" i="2" s="1"/>
  <c r="A73" i="3" s="1"/>
  <c r="D73" i="2"/>
  <c r="AK25" i="2" s="1"/>
  <c r="J73" i="2"/>
  <c r="P5" i="2" s="1"/>
  <c r="G73" i="2"/>
  <c r="BJ73" i="2" s="1"/>
  <c r="H73" i="2"/>
  <c r="BK73" i="2" s="1"/>
  <c r="I73" i="2"/>
  <c r="O5" i="2" s="1"/>
  <c r="A80" i="2"/>
  <c r="J74" i="2" l="1"/>
  <c r="F74" i="2"/>
  <c r="C74" i="2"/>
  <c r="AD74" i="2" s="1"/>
  <c r="AW74" i="2" s="1"/>
  <c r="A74" i="3" s="1"/>
  <c r="B75" i="2"/>
  <c r="D74" i="2"/>
  <c r="E74" i="2"/>
  <c r="G74" i="2"/>
  <c r="BJ74" i="2" s="1"/>
  <c r="I74" i="2"/>
  <c r="H74" i="2"/>
  <c r="BK74" i="2" s="1"/>
  <c r="A81" i="2"/>
  <c r="D75" i="2" l="1"/>
  <c r="E75" i="2"/>
  <c r="I75" i="2"/>
  <c r="C75" i="2"/>
  <c r="AD75" i="2" s="1"/>
  <c r="AW75" i="2" s="1"/>
  <c r="A75" i="3" s="1"/>
  <c r="J75" i="2"/>
  <c r="G75" i="2"/>
  <c r="BJ75" i="2" s="1"/>
  <c r="F75" i="2"/>
  <c r="H75" i="2"/>
  <c r="BK75" i="2" s="1"/>
  <c r="B76" i="2"/>
  <c r="A82" i="2"/>
  <c r="G76" i="2" l="1"/>
  <c r="BJ76" i="2" s="1"/>
  <c r="J76" i="2"/>
  <c r="D76" i="2"/>
  <c r="E76" i="2"/>
  <c r="B77" i="2"/>
  <c r="H76" i="2"/>
  <c r="BK76" i="2" s="1"/>
  <c r="F76" i="2"/>
  <c r="I76" i="2"/>
  <c r="C76" i="2"/>
  <c r="AD76" i="2" s="1"/>
  <c r="AW76" i="2" s="1"/>
  <c r="A76" i="3" s="1"/>
  <c r="A83" i="2"/>
  <c r="J77" i="2" l="1"/>
  <c r="E77" i="2"/>
  <c r="C77" i="2"/>
  <c r="AD77" i="2" s="1"/>
  <c r="AW77" i="2" s="1"/>
  <c r="A77" i="3" s="1"/>
  <c r="I77" i="2"/>
  <c r="D77" i="2"/>
  <c r="H77" i="2"/>
  <c r="BK77" i="2" s="1"/>
  <c r="G77" i="2"/>
  <c r="BJ77" i="2" s="1"/>
  <c r="F77" i="2"/>
  <c r="B78" i="2"/>
  <c r="A84" i="2"/>
  <c r="D78" i="2" l="1"/>
  <c r="F78" i="2"/>
  <c r="J78" i="2"/>
  <c r="H78" i="2"/>
  <c r="BK78" i="2" s="1"/>
  <c r="G78" i="2"/>
  <c r="BJ78" i="2" s="1"/>
  <c r="E78" i="2"/>
  <c r="B79" i="2"/>
  <c r="C78" i="2"/>
  <c r="AD78" i="2" s="1"/>
  <c r="AW78" i="2" s="1"/>
  <c r="A78" i="3" s="1"/>
  <c r="I78" i="2"/>
  <c r="A85" i="2"/>
  <c r="H79" i="2" l="1"/>
  <c r="BK79" i="2" s="1"/>
  <c r="G79" i="2"/>
  <c r="BJ79" i="2" s="1"/>
  <c r="I79" i="2"/>
  <c r="D79" i="2"/>
  <c r="E79" i="2"/>
  <c r="F79" i="2"/>
  <c r="B80" i="2"/>
  <c r="J79" i="2"/>
  <c r="C79" i="2"/>
  <c r="AD79" i="2" s="1"/>
  <c r="AW79" i="2" s="1"/>
  <c r="A79" i="3" s="1"/>
  <c r="A86" i="2"/>
  <c r="C80" i="2" l="1"/>
  <c r="AD80" i="2" s="1"/>
  <c r="AW80" i="2" s="1"/>
  <c r="A80" i="3" s="1"/>
  <c r="F80" i="2"/>
  <c r="G80" i="2"/>
  <c r="BJ80" i="2" s="1"/>
  <c r="B81" i="2"/>
  <c r="J80" i="2"/>
  <c r="H80" i="2"/>
  <c r="BK80" i="2" s="1"/>
  <c r="I80" i="2"/>
  <c r="E80" i="2"/>
  <c r="D80" i="2"/>
  <c r="A87" i="2"/>
  <c r="F81" i="2" l="1"/>
  <c r="D81" i="2"/>
  <c r="B82" i="2"/>
  <c r="E81" i="2"/>
  <c r="C81" i="2"/>
  <c r="AD81" i="2" s="1"/>
  <c r="AW81" i="2" s="1"/>
  <c r="A81" i="3" s="1"/>
  <c r="I81" i="2"/>
  <c r="H81" i="2"/>
  <c r="BK81" i="2" s="1"/>
  <c r="J81" i="2"/>
  <c r="G81" i="2"/>
  <c r="BJ81" i="2" s="1"/>
  <c r="A88" i="2"/>
  <c r="I82" i="2" l="1"/>
  <c r="D82" i="2"/>
  <c r="H82" i="2"/>
  <c r="BK82" i="2" s="1"/>
  <c r="F82" i="2"/>
  <c r="B83" i="2"/>
  <c r="C82" i="2"/>
  <c r="AD82" i="2" s="1"/>
  <c r="AW82" i="2" s="1"/>
  <c r="A82" i="3" s="1"/>
  <c r="J82" i="2"/>
  <c r="G82" i="2"/>
  <c r="BJ82" i="2" s="1"/>
  <c r="E82" i="2"/>
  <c r="A89" i="2"/>
  <c r="J83" i="2" l="1"/>
  <c r="G83" i="2"/>
  <c r="BJ83" i="2" s="1"/>
  <c r="H83" i="2"/>
  <c r="BK83" i="2" s="1"/>
  <c r="C83" i="2"/>
  <c r="AD83" i="2" s="1"/>
  <c r="AW83" i="2" s="1"/>
  <c r="A83" i="3" s="1"/>
  <c r="D83" i="2"/>
  <c r="F83" i="2"/>
  <c r="E83" i="2"/>
  <c r="B84" i="2"/>
  <c r="I83" i="2"/>
  <c r="A90" i="2"/>
  <c r="D84" i="2" l="1"/>
  <c r="B85" i="2"/>
  <c r="G84" i="2"/>
  <c r="BJ84" i="2" s="1"/>
  <c r="I84" i="2"/>
  <c r="E84" i="2"/>
  <c r="C84" i="2"/>
  <c r="AD84" i="2" s="1"/>
  <c r="AW84" i="2" s="1"/>
  <c r="A84" i="3" s="1"/>
  <c r="J84" i="2"/>
  <c r="H84" i="2"/>
  <c r="BK84" i="2" s="1"/>
  <c r="F84" i="2"/>
  <c r="A91" i="2"/>
  <c r="E85" i="2" l="1"/>
  <c r="B86" i="2"/>
  <c r="F85" i="2"/>
  <c r="I85" i="2"/>
  <c r="H85" i="2"/>
  <c r="BK85" i="2" s="1"/>
  <c r="D85" i="2"/>
  <c r="C85" i="2"/>
  <c r="AD85" i="2" s="1"/>
  <c r="AW85" i="2" s="1"/>
  <c r="A85" i="3" s="1"/>
  <c r="J85" i="2"/>
  <c r="G85" i="2"/>
  <c r="BJ85" i="2" s="1"/>
  <c r="A92" i="2"/>
  <c r="E86" i="2" l="1"/>
  <c r="C86" i="2"/>
  <c r="AD86" i="2" s="1"/>
  <c r="AW86" i="2" s="1"/>
  <c r="A86" i="3" s="1"/>
  <c r="B87" i="2"/>
  <c r="G86" i="2"/>
  <c r="BJ86" i="2" s="1"/>
  <c r="F86" i="2"/>
  <c r="J86" i="2"/>
  <c r="H86" i="2"/>
  <c r="BK86" i="2" s="1"/>
  <c r="I86" i="2"/>
  <c r="D86" i="2"/>
  <c r="AK40" i="2"/>
  <c r="AK4" i="2"/>
  <c r="A93" i="2"/>
  <c r="F87" i="2" l="1"/>
  <c r="J87" i="2"/>
  <c r="E87" i="2"/>
  <c r="D87" i="2"/>
  <c r="H87" i="2"/>
  <c r="BK87" i="2" s="1"/>
  <c r="G87" i="2"/>
  <c r="BJ87" i="2" s="1"/>
  <c r="I87" i="2"/>
  <c r="B88" i="2"/>
  <c r="C87" i="2"/>
  <c r="AD87" i="2" s="1"/>
  <c r="AW87" i="2" s="1"/>
  <c r="A87" i="3" s="1"/>
  <c r="AP4" i="2"/>
  <c r="AP40" i="2"/>
  <c r="A94" i="2"/>
  <c r="C88" i="2" l="1"/>
  <c r="AD88" i="2" s="1"/>
  <c r="AW88" i="2" s="1"/>
  <c r="A88" i="3" s="1"/>
  <c r="G88" i="2"/>
  <c r="BJ88" i="2" s="1"/>
  <c r="B89" i="2"/>
  <c r="I88" i="2"/>
  <c r="D88" i="2"/>
  <c r="J88" i="2"/>
  <c r="F88" i="2"/>
  <c r="H88" i="2"/>
  <c r="BK88" i="2" s="1"/>
  <c r="E88" i="2"/>
  <c r="A95" i="2"/>
  <c r="F89" i="2" l="1"/>
  <c r="H89" i="2"/>
  <c r="BK89" i="2" s="1"/>
  <c r="I89" i="2"/>
  <c r="C89" i="2"/>
  <c r="AD89" i="2" s="1"/>
  <c r="AW89" i="2" s="1"/>
  <c r="A89" i="3" s="1"/>
  <c r="B90" i="2"/>
  <c r="E89" i="2"/>
  <c r="G89" i="2"/>
  <c r="BJ89" i="2" s="1"/>
  <c r="D89" i="2"/>
  <c r="J89" i="2"/>
  <c r="A96" i="2"/>
  <c r="AK49" i="2" l="1"/>
  <c r="AP49" i="2" s="1"/>
  <c r="AK14" i="2"/>
  <c r="AP14" i="2" s="1"/>
  <c r="C90" i="2"/>
  <c r="AD90" i="2" s="1"/>
  <c r="AW90" i="2" s="1"/>
  <c r="A90" i="3" s="1"/>
  <c r="E90" i="2"/>
  <c r="D90" i="2"/>
  <c r="J90" i="2"/>
  <c r="B91" i="2"/>
  <c r="G90" i="2"/>
  <c r="BJ90" i="2" s="1"/>
  <c r="I90" i="2"/>
  <c r="F90" i="2"/>
  <c r="H90" i="2"/>
  <c r="BK90" i="2" s="1"/>
  <c r="A97" i="2"/>
  <c r="J91" i="2" l="1"/>
  <c r="I91" i="2"/>
  <c r="H91" i="2"/>
  <c r="BK91" i="2" s="1"/>
  <c r="B92" i="2"/>
  <c r="E91" i="2"/>
  <c r="D91" i="2"/>
  <c r="F91" i="2"/>
  <c r="G91" i="2"/>
  <c r="BJ91" i="2" s="1"/>
  <c r="C91" i="2"/>
  <c r="AD91" i="2" s="1"/>
  <c r="AW91" i="2" s="1"/>
  <c r="A91" i="3" s="1"/>
  <c r="A98" i="2"/>
  <c r="AK5" i="2" l="1"/>
  <c r="AP5" i="2" s="1"/>
  <c r="AK41" i="2"/>
  <c r="AP41" i="2" s="1"/>
  <c r="I92" i="2"/>
  <c r="E92" i="2"/>
  <c r="F92" i="2"/>
  <c r="G92" i="2"/>
  <c r="BJ92" i="2" s="1"/>
  <c r="H92" i="2"/>
  <c r="BK92" i="2" s="1"/>
  <c r="D92" i="2"/>
  <c r="C92" i="2"/>
  <c r="AD92" i="2" s="1"/>
  <c r="AW92" i="2" s="1"/>
  <c r="A92" i="3" s="1"/>
  <c r="J92" i="2"/>
  <c r="B93" i="2"/>
  <c r="AG98" i="2"/>
  <c r="AF98" i="2"/>
  <c r="AE98" i="2"/>
  <c r="BJ98" i="2"/>
  <c r="R98" i="2"/>
  <c r="S98" i="2"/>
  <c r="AH98" i="2"/>
  <c r="BK98" i="2"/>
  <c r="AD98" i="2"/>
  <c r="AW98" i="2" s="1"/>
  <c r="A98" i="3" s="1"/>
  <c r="C98" i="2"/>
  <c r="A99" i="2"/>
  <c r="D98" i="2"/>
  <c r="E98" i="2"/>
  <c r="F98" i="2"/>
  <c r="G98" i="2"/>
  <c r="H98" i="2"/>
  <c r="J98" i="2"/>
  <c r="B98" i="2"/>
  <c r="I98" i="2"/>
  <c r="AK42" i="2" l="1"/>
  <c r="AP42" i="2" s="1"/>
  <c r="AK6" i="2"/>
  <c r="AP6" i="2" s="1"/>
  <c r="I93" i="2"/>
  <c r="G93" i="2"/>
  <c r="BJ93" i="2" s="1"/>
  <c r="E93" i="2"/>
  <c r="B94" i="2"/>
  <c r="D93" i="2"/>
  <c r="C93" i="2"/>
  <c r="AD93" i="2" s="1"/>
  <c r="AW93" i="2" s="1"/>
  <c r="A93" i="3" s="1"/>
  <c r="H93" i="2"/>
  <c r="BK93" i="2" s="1"/>
  <c r="J93" i="2"/>
  <c r="F93" i="2"/>
  <c r="AE99" i="2"/>
  <c r="AD99" i="2"/>
  <c r="AW99" i="2" s="1"/>
  <c r="A99" i="3" s="1"/>
  <c r="BK99" i="2"/>
  <c r="S99" i="2"/>
  <c r="AH99" i="2"/>
  <c r="AG99" i="2"/>
  <c r="BJ99" i="2"/>
  <c r="AF99" i="2"/>
  <c r="R99" i="2"/>
  <c r="BA98" i="2"/>
  <c r="E98" i="3" s="1"/>
  <c r="AZ98" i="2"/>
  <c r="D98" i="3" s="1"/>
  <c r="AY98" i="2"/>
  <c r="C98" i="3" s="1"/>
  <c r="AX98" i="2"/>
  <c r="B98" i="3" s="1"/>
  <c r="I99" i="2"/>
  <c r="B99" i="2"/>
  <c r="J99" i="2"/>
  <c r="C99" i="2"/>
  <c r="A100" i="2"/>
  <c r="D99" i="2"/>
  <c r="E99" i="2"/>
  <c r="F99" i="2"/>
  <c r="G99" i="2"/>
  <c r="H99" i="2"/>
  <c r="AK43" i="2" l="1"/>
  <c r="AP43" i="2" s="1"/>
  <c r="AK7" i="2"/>
  <c r="AP7" i="2" s="1"/>
  <c r="H94" i="2"/>
  <c r="BK94" i="2" s="1"/>
  <c r="F94" i="2"/>
  <c r="E94" i="2"/>
  <c r="D94" i="2"/>
  <c r="B95" i="2"/>
  <c r="G94" i="2"/>
  <c r="BJ94" i="2" s="1"/>
  <c r="J94" i="2"/>
  <c r="I94" i="2"/>
  <c r="C94" i="2"/>
  <c r="AD94" i="2" s="1"/>
  <c r="AW94" i="2" s="1"/>
  <c r="A94" i="3" s="1"/>
  <c r="BK100" i="2"/>
  <c r="S100" i="2"/>
  <c r="BJ100" i="2"/>
  <c r="R100" i="2"/>
  <c r="AF100" i="2"/>
  <c r="AE100" i="2"/>
  <c r="AG100" i="2"/>
  <c r="AH100" i="2"/>
  <c r="AD100" i="2"/>
  <c r="AW100" i="2" s="1"/>
  <c r="A100" i="3" s="1"/>
  <c r="BA99" i="2"/>
  <c r="E99" i="3" s="1"/>
  <c r="AZ99" i="2"/>
  <c r="D99" i="3" s="1"/>
  <c r="AY99" i="2"/>
  <c r="C99" i="3" s="1"/>
  <c r="AX99" i="2"/>
  <c r="B99" i="3" s="1"/>
  <c r="G100" i="2"/>
  <c r="H100" i="2"/>
  <c r="I100" i="2"/>
  <c r="B100" i="2"/>
  <c r="J100" i="2"/>
  <c r="C100" i="2"/>
  <c r="A101" i="2"/>
  <c r="D100" i="2"/>
  <c r="E100" i="2"/>
  <c r="F100" i="2"/>
  <c r="D95" i="2" l="1"/>
  <c r="F95" i="2"/>
  <c r="B96" i="2"/>
  <c r="C95" i="2"/>
  <c r="AD95" i="2" s="1"/>
  <c r="AW95" i="2" s="1"/>
  <c r="A95" i="3" s="1"/>
  <c r="J95" i="2"/>
  <c r="G95" i="2"/>
  <c r="BJ95" i="2" s="1"/>
  <c r="H95" i="2"/>
  <c r="BK95" i="2" s="1"/>
  <c r="I95" i="2"/>
  <c r="E95" i="2"/>
  <c r="AK44" i="2"/>
  <c r="AP44" i="2" s="1"/>
  <c r="AK8" i="2"/>
  <c r="AP8" i="2" s="1"/>
  <c r="AH101" i="2"/>
  <c r="AG101" i="2"/>
  <c r="AD101" i="2"/>
  <c r="AW101" i="2" s="1"/>
  <c r="A101" i="3" s="1"/>
  <c r="BK101" i="2"/>
  <c r="S101" i="2"/>
  <c r="AF101" i="2"/>
  <c r="AE101" i="2"/>
  <c r="R101" i="2"/>
  <c r="BJ101" i="2"/>
  <c r="AY100" i="2"/>
  <c r="C100" i="3" s="1"/>
  <c r="BA100" i="2"/>
  <c r="E100" i="3" s="1"/>
  <c r="AZ100" i="2"/>
  <c r="D100" i="3" s="1"/>
  <c r="AX100" i="2"/>
  <c r="B100" i="3" s="1"/>
  <c r="E101" i="2"/>
  <c r="F101" i="2"/>
  <c r="G101" i="2"/>
  <c r="H101" i="2"/>
  <c r="I101" i="2"/>
  <c r="B101" i="2"/>
  <c r="J101" i="2"/>
  <c r="C101" i="2"/>
  <c r="D101" i="2"/>
  <c r="A102" i="2"/>
  <c r="G96" i="2" l="1"/>
  <c r="BJ96" i="2" s="1"/>
  <c r="C96" i="2"/>
  <c r="AD96" i="2" s="1"/>
  <c r="AW96" i="2" s="1"/>
  <c r="A96" i="3" s="1"/>
  <c r="B97" i="2"/>
  <c r="J96" i="2"/>
  <c r="I96" i="2"/>
  <c r="D96" i="2"/>
  <c r="E96" i="2"/>
  <c r="F96" i="2"/>
  <c r="H96" i="2"/>
  <c r="BK96" i="2" s="1"/>
  <c r="AK48" i="2"/>
  <c r="AK12" i="2"/>
  <c r="AP12" i="2" s="1"/>
  <c r="AG102" i="2"/>
  <c r="AF102" i="2"/>
  <c r="AE102" i="2"/>
  <c r="BK102" i="2"/>
  <c r="R102" i="2"/>
  <c r="BJ102" i="2"/>
  <c r="S102" i="2"/>
  <c r="AH102" i="2"/>
  <c r="AD102" i="2"/>
  <c r="AW102" i="2" s="1"/>
  <c r="A102" i="3" s="1"/>
  <c r="AY101" i="2"/>
  <c r="C101" i="3" s="1"/>
  <c r="AX101" i="2"/>
  <c r="B101" i="3" s="1"/>
  <c r="BA101" i="2"/>
  <c r="E101" i="3" s="1"/>
  <c r="AZ101" i="2"/>
  <c r="D101" i="3" s="1"/>
  <c r="C102" i="2"/>
  <c r="A103" i="2"/>
  <c r="D102" i="2"/>
  <c r="E102" i="2"/>
  <c r="F102" i="2"/>
  <c r="G102" i="2"/>
  <c r="H102" i="2"/>
  <c r="B102" i="2"/>
  <c r="I102" i="2"/>
  <c r="J102" i="2"/>
  <c r="AK9" i="2" l="1"/>
  <c r="AP9" i="2" s="1"/>
  <c r="AK45" i="2"/>
  <c r="AP45" i="2" s="1"/>
  <c r="C97" i="2"/>
  <c r="AD97" i="2" s="1"/>
  <c r="AW97" i="2" s="1"/>
  <c r="A97" i="3" s="1"/>
  <c r="H97" i="2"/>
  <c r="BK97" i="2" s="1"/>
  <c r="G97" i="2"/>
  <c r="BJ97" i="2" s="1"/>
  <c r="D97" i="2"/>
  <c r="AK26" i="2" s="1"/>
  <c r="F97" i="2"/>
  <c r="E97" i="2"/>
  <c r="I97" i="2"/>
  <c r="O6" i="2" s="1"/>
  <c r="J97" i="2"/>
  <c r="P6" i="2" s="1"/>
  <c r="AF103" i="2"/>
  <c r="AE103" i="2"/>
  <c r="AD103" i="2"/>
  <c r="AW103" i="2" s="1"/>
  <c r="A103" i="3" s="1"/>
  <c r="BJ103" i="2"/>
  <c r="AH103" i="2"/>
  <c r="BK103" i="2"/>
  <c r="AG103" i="2"/>
  <c r="S103" i="2"/>
  <c r="R103" i="2"/>
  <c r="BA102" i="2"/>
  <c r="E102" i="3" s="1"/>
  <c r="AZ102" i="2"/>
  <c r="D102" i="3" s="1"/>
  <c r="AY102" i="2"/>
  <c r="C102" i="3" s="1"/>
  <c r="AX102" i="2"/>
  <c r="B102" i="3" s="1"/>
  <c r="I103" i="2"/>
  <c r="B103" i="2"/>
  <c r="J103" i="2"/>
  <c r="C103" i="2"/>
  <c r="A104" i="2"/>
  <c r="D103" i="2"/>
  <c r="E103" i="2"/>
  <c r="F103" i="2"/>
  <c r="G103" i="2"/>
  <c r="H103" i="2"/>
  <c r="AK11" i="2" l="1"/>
  <c r="AP11" i="2" s="1"/>
  <c r="AK47" i="2"/>
  <c r="AP47" i="2" s="1"/>
  <c r="P23" i="2"/>
  <c r="P24" i="2"/>
  <c r="AS42" i="2"/>
  <c r="AS43" i="2"/>
  <c r="O23" i="2"/>
  <c r="O24" i="2"/>
  <c r="AS6" i="2"/>
  <c r="AS7" i="2"/>
  <c r="AE104" i="2"/>
  <c r="AD104" i="2"/>
  <c r="AW104" i="2" s="1"/>
  <c r="A104" i="3" s="1"/>
  <c r="BK104" i="2"/>
  <c r="S104" i="2"/>
  <c r="AH104" i="2"/>
  <c r="AG104" i="2"/>
  <c r="AF104" i="2"/>
  <c r="BJ104" i="2"/>
  <c r="R104" i="2"/>
  <c r="BA103" i="2"/>
  <c r="E103" i="3" s="1"/>
  <c r="AZ103" i="2"/>
  <c r="D103" i="3" s="1"/>
  <c r="AY103" i="2"/>
  <c r="C103" i="3" s="1"/>
  <c r="AX103" i="2"/>
  <c r="B103" i="3" s="1"/>
  <c r="G104" i="2"/>
  <c r="H104" i="2"/>
  <c r="I104" i="2"/>
  <c r="B104" i="2"/>
  <c r="J104" i="2"/>
  <c r="C104" i="2"/>
  <c r="A105" i="2"/>
  <c r="D104" i="2"/>
  <c r="E104" i="2"/>
  <c r="F104" i="2"/>
  <c r="AT7" i="2" l="1"/>
  <c r="AT6" i="2"/>
  <c r="AT4" i="2"/>
  <c r="AD105" i="2"/>
  <c r="AW105" i="2" s="1"/>
  <c r="A105" i="3" s="1"/>
  <c r="S105" i="2"/>
  <c r="BK105" i="2"/>
  <c r="R105" i="2"/>
  <c r="BJ105" i="2"/>
  <c r="AG105" i="2"/>
  <c r="AF105" i="2"/>
  <c r="AH105" i="2"/>
  <c r="AE105" i="2"/>
  <c r="AX104" i="2"/>
  <c r="B104" i="3" s="1"/>
  <c r="AZ104" i="2"/>
  <c r="D104" i="3" s="1"/>
  <c r="BA104" i="2"/>
  <c r="E104" i="3" s="1"/>
  <c r="AY104" i="2"/>
  <c r="C104" i="3" s="1"/>
  <c r="E105" i="2"/>
  <c r="F105" i="2"/>
  <c r="G105" i="2"/>
  <c r="H105" i="2"/>
  <c r="I105" i="2"/>
  <c r="B105" i="2"/>
  <c r="J105" i="2"/>
  <c r="D105" i="2"/>
  <c r="A106" i="2"/>
  <c r="C105" i="2"/>
  <c r="BK106" i="2" l="1"/>
  <c r="S106" i="2"/>
  <c r="BJ106" i="2"/>
  <c r="R106" i="2"/>
  <c r="AH106" i="2"/>
  <c r="AF106" i="2"/>
  <c r="AE106" i="2"/>
  <c r="AD106" i="2"/>
  <c r="AW106" i="2" s="1"/>
  <c r="A106" i="3" s="1"/>
  <c r="AG106" i="2"/>
  <c r="AZ105" i="2"/>
  <c r="D105" i="3" s="1"/>
  <c r="AY105" i="2"/>
  <c r="C105" i="3" s="1"/>
  <c r="AX105" i="2"/>
  <c r="B105" i="3" s="1"/>
  <c r="BA105" i="2"/>
  <c r="E105" i="3" s="1"/>
  <c r="C106" i="2"/>
  <c r="A107" i="2"/>
  <c r="D106" i="2"/>
  <c r="E106" i="2"/>
  <c r="F106" i="2"/>
  <c r="G106" i="2"/>
  <c r="H106" i="2"/>
  <c r="B106" i="2"/>
  <c r="I106" i="2"/>
  <c r="J106" i="2"/>
  <c r="AH107" i="2" l="1"/>
  <c r="AG107" i="2"/>
  <c r="AF107" i="2"/>
  <c r="AD107" i="2"/>
  <c r="AW107" i="2" s="1"/>
  <c r="A107" i="3" s="1"/>
  <c r="BK107" i="2"/>
  <c r="S107" i="2"/>
  <c r="BJ107" i="2"/>
  <c r="R107" i="2"/>
  <c r="AE107" i="2"/>
  <c r="AL29" i="2"/>
  <c r="AL27" i="2"/>
  <c r="BA106" i="2"/>
  <c r="E106" i="3" s="1"/>
  <c r="AZ106" i="2"/>
  <c r="D106" i="3" s="1"/>
  <c r="AY106" i="2"/>
  <c r="C106" i="3" s="1"/>
  <c r="AX106" i="2"/>
  <c r="B106" i="3" s="1"/>
  <c r="B107" i="2"/>
  <c r="J107" i="2"/>
  <c r="C107" i="2"/>
  <c r="D107" i="2"/>
  <c r="E107" i="2"/>
  <c r="I107" i="2"/>
  <c r="A108" i="2"/>
  <c r="F107" i="2"/>
  <c r="G107" i="2"/>
  <c r="H107" i="2"/>
  <c r="AG108" i="2" l="1"/>
  <c r="AF108" i="2"/>
  <c r="AD108" i="2"/>
  <c r="AW108" i="2" s="1"/>
  <c r="A108" i="3" s="1"/>
  <c r="AE108" i="2"/>
  <c r="BJ108" i="2"/>
  <c r="R108" i="2"/>
  <c r="AH108" i="2"/>
  <c r="S108" i="2"/>
  <c r="BK108" i="2"/>
  <c r="BA107" i="2"/>
  <c r="E107" i="3" s="1"/>
  <c r="AZ107" i="2"/>
  <c r="D107" i="3" s="1"/>
  <c r="AY107" i="2"/>
  <c r="C107" i="3" s="1"/>
  <c r="AX107" i="2"/>
  <c r="B107" i="3" s="1"/>
  <c r="AM29" i="2"/>
  <c r="H108" i="2"/>
  <c r="B108" i="2"/>
  <c r="J108" i="2"/>
  <c r="A109" i="2"/>
  <c r="C108" i="2"/>
  <c r="D108" i="2"/>
  <c r="E108" i="2"/>
  <c r="F108" i="2"/>
  <c r="G108" i="2"/>
  <c r="I108" i="2"/>
  <c r="AE109" i="2" l="1"/>
  <c r="AD109" i="2"/>
  <c r="AW109" i="2" s="1"/>
  <c r="A109" i="3" s="1"/>
  <c r="BJ109" i="2"/>
  <c r="BK109" i="2"/>
  <c r="S109" i="2"/>
  <c r="R109" i="2"/>
  <c r="AH109" i="2"/>
  <c r="AG109" i="2"/>
  <c r="AF109" i="2"/>
  <c r="BA108" i="2"/>
  <c r="E108" i="3" s="1"/>
  <c r="AZ108" i="2"/>
  <c r="D108" i="3" s="1"/>
  <c r="AX108" i="2"/>
  <c r="B108" i="3" s="1"/>
  <c r="AY108" i="2"/>
  <c r="C108" i="3" s="1"/>
  <c r="F109" i="2"/>
  <c r="H109" i="2"/>
  <c r="A110" i="2"/>
  <c r="B109" i="2"/>
  <c r="C109" i="2"/>
  <c r="D109" i="2"/>
  <c r="E109" i="2"/>
  <c r="G109" i="2"/>
  <c r="I109" i="2"/>
  <c r="J109" i="2"/>
  <c r="BJ110" i="2" l="1"/>
  <c r="S110" i="2"/>
  <c r="R110" i="2"/>
  <c r="AH110" i="2"/>
  <c r="AF110" i="2"/>
  <c r="AE110" i="2"/>
  <c r="BK110" i="2"/>
  <c r="AD110" i="2"/>
  <c r="AW110" i="2" s="1"/>
  <c r="A110" i="3" s="1"/>
  <c r="AG110" i="2"/>
  <c r="AX109" i="2"/>
  <c r="B109" i="3" s="1"/>
  <c r="BA109" i="2"/>
  <c r="E109" i="3" s="1"/>
  <c r="AY109" i="2"/>
  <c r="C109" i="3" s="1"/>
  <c r="AZ109" i="2"/>
  <c r="D109" i="3" s="1"/>
  <c r="D110" i="2"/>
  <c r="F110" i="2"/>
  <c r="A111" i="2"/>
  <c r="B110" i="2"/>
  <c r="C110" i="2"/>
  <c r="E110" i="2"/>
  <c r="G110" i="2"/>
  <c r="H110" i="2"/>
  <c r="I110" i="2"/>
  <c r="J110" i="2"/>
  <c r="AH111" i="2" l="1"/>
  <c r="AG111" i="2"/>
  <c r="AE111" i="2"/>
  <c r="AF111" i="2"/>
  <c r="BJ111" i="2"/>
  <c r="S111" i="2"/>
  <c r="R111" i="2"/>
  <c r="BK111" i="2"/>
  <c r="AD111" i="2"/>
  <c r="AW111" i="2" s="1"/>
  <c r="A111" i="3" s="1"/>
  <c r="AY110" i="2"/>
  <c r="C110" i="3" s="1"/>
  <c r="AX110" i="2"/>
  <c r="B110" i="3" s="1"/>
  <c r="BA110" i="2"/>
  <c r="E110" i="3" s="1"/>
  <c r="AZ110" i="2"/>
  <c r="D110" i="3" s="1"/>
  <c r="B111" i="2"/>
  <c r="J111" i="2"/>
  <c r="D111" i="2"/>
  <c r="C111" i="2"/>
  <c r="E111" i="2"/>
  <c r="F111" i="2"/>
  <c r="G111" i="2"/>
  <c r="H111" i="2"/>
  <c r="I111" i="2"/>
  <c r="A112" i="2"/>
  <c r="AE112" i="2" l="1"/>
  <c r="AD112" i="2"/>
  <c r="AW112" i="2" s="1"/>
  <c r="A112" i="3" s="1"/>
  <c r="BK112" i="2"/>
  <c r="S112" i="2"/>
  <c r="R112" i="2"/>
  <c r="AH112" i="2"/>
  <c r="AG112" i="2"/>
  <c r="AF112" i="2"/>
  <c r="BJ112" i="2"/>
  <c r="AZ111" i="2"/>
  <c r="D111" i="3" s="1"/>
  <c r="AY111" i="2"/>
  <c r="C111" i="3" s="1"/>
  <c r="BA111" i="2"/>
  <c r="E111" i="3" s="1"/>
  <c r="AX111" i="2"/>
  <c r="B111" i="3" s="1"/>
  <c r="H112" i="2"/>
  <c r="B112" i="2"/>
  <c r="J112" i="2"/>
  <c r="C112" i="2"/>
  <c r="D112" i="2"/>
  <c r="E112" i="2"/>
  <c r="F112" i="2"/>
  <c r="G112" i="2"/>
  <c r="I112" i="2"/>
  <c r="A113" i="2"/>
  <c r="AD113" i="2" l="1"/>
  <c r="AW113" i="2" s="1"/>
  <c r="A113" i="3" s="1"/>
  <c r="S113" i="2"/>
  <c r="BK113" i="2"/>
  <c r="R113" i="2"/>
  <c r="BJ113" i="2"/>
  <c r="AG113" i="2"/>
  <c r="AE113" i="2"/>
  <c r="AF113" i="2"/>
  <c r="AH113" i="2"/>
  <c r="AX112" i="2"/>
  <c r="B112" i="3" s="1"/>
  <c r="BA112" i="2"/>
  <c r="E112" i="3" s="1"/>
  <c r="AZ112" i="2"/>
  <c r="D112" i="3" s="1"/>
  <c r="AY112" i="2"/>
  <c r="C112" i="3" s="1"/>
  <c r="F113" i="2"/>
  <c r="H113" i="2"/>
  <c r="C113" i="2"/>
  <c r="D113" i="2"/>
  <c r="E113" i="2"/>
  <c r="G113" i="2"/>
  <c r="I113" i="2"/>
  <c r="J113" i="2"/>
  <c r="A114" i="2"/>
  <c r="B113" i="2"/>
  <c r="BK114" i="2" l="1"/>
  <c r="S114" i="2"/>
  <c r="BJ114" i="2"/>
  <c r="R114" i="2"/>
  <c r="AH114" i="2"/>
  <c r="AF114" i="2"/>
  <c r="AE114" i="2"/>
  <c r="AD114" i="2"/>
  <c r="AW114" i="2" s="1"/>
  <c r="A114" i="3" s="1"/>
  <c r="AG114" i="2"/>
  <c r="BA113" i="2"/>
  <c r="E113" i="3" s="1"/>
  <c r="AZ113" i="2"/>
  <c r="D113" i="3" s="1"/>
  <c r="AY113" i="2"/>
  <c r="C113" i="3" s="1"/>
  <c r="AX113" i="2"/>
  <c r="B113" i="3" s="1"/>
  <c r="F114" i="2"/>
  <c r="C114" i="2"/>
  <c r="D114" i="2"/>
  <c r="E114" i="2"/>
  <c r="G114" i="2"/>
  <c r="H114" i="2"/>
  <c r="I114" i="2"/>
  <c r="J114" i="2"/>
  <c r="B114" i="2"/>
  <c r="A115" i="2"/>
  <c r="AH115" i="2" l="1"/>
  <c r="AG115" i="2"/>
  <c r="AF115" i="2"/>
  <c r="AD115" i="2"/>
  <c r="AW115" i="2" s="1"/>
  <c r="A115" i="3" s="1"/>
  <c r="R115" i="2"/>
  <c r="BK115" i="2"/>
  <c r="S115" i="2"/>
  <c r="BJ115" i="2"/>
  <c r="AE115" i="2"/>
  <c r="BA114" i="2"/>
  <c r="E114" i="3" s="1"/>
  <c r="AZ114" i="2"/>
  <c r="D114" i="3" s="1"/>
  <c r="AY114" i="2"/>
  <c r="C114" i="3" s="1"/>
  <c r="AX114" i="2"/>
  <c r="B114" i="3" s="1"/>
  <c r="B115" i="2"/>
  <c r="J115" i="2"/>
  <c r="C115" i="2"/>
  <c r="A116" i="2"/>
  <c r="D115" i="2"/>
  <c r="E115" i="2"/>
  <c r="F115" i="2"/>
  <c r="G115" i="2"/>
  <c r="H115" i="2"/>
  <c r="I115" i="2"/>
  <c r="AG116" i="2" l="1"/>
  <c r="AF116" i="2"/>
  <c r="AD116" i="2"/>
  <c r="AW116" i="2" s="1"/>
  <c r="A116" i="3" s="1"/>
  <c r="AE116" i="2"/>
  <c r="BJ116" i="2"/>
  <c r="R116" i="2"/>
  <c r="AH116" i="2"/>
  <c r="BK116" i="2"/>
  <c r="S116" i="2"/>
  <c r="BA115" i="2"/>
  <c r="E115" i="3" s="1"/>
  <c r="AZ115" i="2"/>
  <c r="D115" i="3" s="1"/>
  <c r="AY115" i="2"/>
  <c r="C115" i="3" s="1"/>
  <c r="AX115" i="2"/>
  <c r="B115" i="3" s="1"/>
  <c r="H116" i="2"/>
  <c r="I116" i="2"/>
  <c r="B116" i="2"/>
  <c r="J116" i="2"/>
  <c r="C116" i="2"/>
  <c r="A117" i="2"/>
  <c r="D116" i="2"/>
  <c r="E116" i="2"/>
  <c r="F116" i="2"/>
  <c r="G116" i="2"/>
  <c r="AE117" i="2" l="1"/>
  <c r="AD117" i="2"/>
  <c r="AW117" i="2" s="1"/>
  <c r="A117" i="3" s="1"/>
  <c r="BJ117" i="2"/>
  <c r="BK117" i="2"/>
  <c r="S117" i="2"/>
  <c r="R117" i="2"/>
  <c r="AH117" i="2"/>
  <c r="AG117" i="2"/>
  <c r="AF117" i="2"/>
  <c r="AX116" i="2"/>
  <c r="B116" i="3" s="1"/>
  <c r="BA116" i="2"/>
  <c r="E116" i="3" s="1"/>
  <c r="AZ116" i="2"/>
  <c r="D116" i="3" s="1"/>
  <c r="AY116" i="2"/>
  <c r="C116" i="3" s="1"/>
  <c r="F117" i="2"/>
  <c r="G117" i="2"/>
  <c r="H117" i="2"/>
  <c r="I117" i="2"/>
  <c r="B117" i="2"/>
  <c r="J117" i="2"/>
  <c r="C117" i="2"/>
  <c r="A118" i="2"/>
  <c r="D117" i="2"/>
  <c r="E117" i="2"/>
  <c r="BK118" i="2" l="1"/>
  <c r="S118" i="2"/>
  <c r="BJ118" i="2"/>
  <c r="R118" i="2"/>
  <c r="AH118" i="2"/>
  <c r="AF118" i="2"/>
  <c r="AD118" i="2"/>
  <c r="AW118" i="2" s="1"/>
  <c r="A118" i="3" s="1"/>
  <c r="AE118" i="2"/>
  <c r="AG118" i="2"/>
  <c r="AY117" i="2"/>
  <c r="C117" i="3" s="1"/>
  <c r="AX117" i="2"/>
  <c r="B117" i="3" s="1"/>
  <c r="BA117" i="2"/>
  <c r="E117" i="3" s="1"/>
  <c r="AZ117" i="2"/>
  <c r="D117" i="3" s="1"/>
  <c r="D118" i="2"/>
  <c r="E118" i="2"/>
  <c r="F118" i="2"/>
  <c r="G118" i="2"/>
  <c r="H118" i="2"/>
  <c r="I118" i="2"/>
  <c r="B118" i="2"/>
  <c r="J118" i="2"/>
  <c r="C118" i="2"/>
  <c r="A119" i="2"/>
  <c r="AG119" i="2" l="1"/>
  <c r="BJ119" i="2"/>
  <c r="AF119" i="2"/>
  <c r="AH119" i="2"/>
  <c r="AD119" i="2"/>
  <c r="AW119" i="2" s="1"/>
  <c r="A119" i="3" s="1"/>
  <c r="BK119" i="2"/>
  <c r="S119" i="2"/>
  <c r="R119" i="2"/>
  <c r="AE119" i="2"/>
  <c r="AZ118" i="2"/>
  <c r="D118" i="3" s="1"/>
  <c r="AY118" i="2"/>
  <c r="C118" i="3" s="1"/>
  <c r="AX118" i="2"/>
  <c r="B118" i="3" s="1"/>
  <c r="BA118" i="2"/>
  <c r="E118" i="3" s="1"/>
  <c r="B119" i="2"/>
  <c r="J119" i="2"/>
  <c r="C119" i="2"/>
  <c r="A120" i="2"/>
  <c r="D119" i="2"/>
  <c r="E119" i="2"/>
  <c r="F119" i="2"/>
  <c r="G119" i="2"/>
  <c r="H119" i="2"/>
  <c r="I119" i="2"/>
  <c r="AE120" i="2" l="1"/>
  <c r="S120" i="2"/>
  <c r="AG120" i="2"/>
  <c r="BK120" i="2"/>
  <c r="BJ120" i="2"/>
  <c r="AH120" i="2"/>
  <c r="AD120" i="2"/>
  <c r="AW120" i="2" s="1"/>
  <c r="A120" i="3" s="1"/>
  <c r="R120" i="2"/>
  <c r="AF120" i="2"/>
  <c r="BA119" i="2"/>
  <c r="E119" i="3" s="1"/>
  <c r="AZ119" i="2"/>
  <c r="D119" i="3" s="1"/>
  <c r="AY119" i="2"/>
  <c r="C119" i="3" s="1"/>
  <c r="AX119" i="2"/>
  <c r="B119" i="3" s="1"/>
  <c r="H120" i="2"/>
  <c r="I120" i="2"/>
  <c r="B120" i="2"/>
  <c r="J120" i="2"/>
  <c r="C120" i="2"/>
  <c r="A121" i="2"/>
  <c r="D120" i="2"/>
  <c r="E120" i="2"/>
  <c r="F120" i="2"/>
  <c r="G120" i="2"/>
  <c r="AD121" i="2" l="1"/>
  <c r="AW121" i="2" s="1"/>
  <c r="A121" i="3" s="1"/>
  <c r="BK121" i="2"/>
  <c r="R121" i="2"/>
  <c r="AF121" i="2"/>
  <c r="S121" i="2"/>
  <c r="AH121" i="2"/>
  <c r="AG121" i="2"/>
  <c r="AE121" i="2"/>
  <c r="BJ121" i="2"/>
  <c r="BA120" i="2"/>
  <c r="E120" i="3" s="1"/>
  <c r="AZ120" i="2"/>
  <c r="D120" i="3" s="1"/>
  <c r="AY120" i="2"/>
  <c r="C120" i="3" s="1"/>
  <c r="AX120" i="2"/>
  <c r="B120" i="3" s="1"/>
  <c r="F121" i="2"/>
  <c r="G121" i="2"/>
  <c r="H121" i="2"/>
  <c r="I121" i="2"/>
  <c r="B121" i="2"/>
  <c r="J121" i="2"/>
  <c r="C121" i="2"/>
  <c r="A122" i="2"/>
  <c r="D121" i="2"/>
  <c r="E121" i="2"/>
  <c r="S122" i="2" l="1"/>
  <c r="BJ122" i="2"/>
  <c r="AE122" i="2"/>
  <c r="AG122" i="2"/>
  <c r="AF122" i="2"/>
  <c r="R122" i="2"/>
  <c r="AD122" i="2"/>
  <c r="AW122" i="2" s="1"/>
  <c r="A122" i="3" s="1"/>
  <c r="AH122" i="2"/>
  <c r="BK122" i="2"/>
  <c r="AZ121" i="2"/>
  <c r="D121" i="3" s="1"/>
  <c r="AY121" i="2"/>
  <c r="C121" i="3" s="1"/>
  <c r="AX121" i="2"/>
  <c r="B121" i="3" s="1"/>
  <c r="BA121" i="2"/>
  <c r="E121" i="3" s="1"/>
  <c r="D122" i="2"/>
  <c r="E122" i="2"/>
  <c r="F122" i="2"/>
  <c r="G122" i="2"/>
  <c r="H122" i="2"/>
  <c r="I122" i="2"/>
  <c r="B122" i="2"/>
  <c r="J122" i="2"/>
  <c r="C122" i="2"/>
  <c r="A123" i="2"/>
  <c r="BK123" i="2" l="1"/>
  <c r="R123" i="2"/>
  <c r="AH123" i="2"/>
  <c r="AD123" i="2"/>
  <c r="AW123" i="2" s="1"/>
  <c r="A123" i="3" s="1"/>
  <c r="BJ123" i="2"/>
  <c r="AF123" i="2"/>
  <c r="AG123" i="2"/>
  <c r="S123" i="2"/>
  <c r="AE123" i="2"/>
  <c r="BA122" i="2"/>
  <c r="E122" i="3" s="1"/>
  <c r="AZ122" i="2"/>
  <c r="D122" i="3" s="1"/>
  <c r="AY122" i="2"/>
  <c r="C122" i="3" s="1"/>
  <c r="AX122" i="2"/>
  <c r="B122" i="3" s="1"/>
  <c r="B123" i="2"/>
  <c r="J123" i="2"/>
  <c r="C123" i="2"/>
  <c r="A124" i="2"/>
  <c r="D123" i="2"/>
  <c r="E123" i="2"/>
  <c r="F123" i="2"/>
  <c r="G123" i="2"/>
  <c r="H123" i="2"/>
  <c r="I123" i="2"/>
  <c r="BJ124" i="2" l="1"/>
  <c r="AG124" i="2"/>
  <c r="S124" i="2"/>
  <c r="R124" i="2"/>
  <c r="BK124" i="2"/>
  <c r="AF124" i="2"/>
  <c r="AE124" i="2"/>
  <c r="AD124" i="2"/>
  <c r="AW124" i="2" s="1"/>
  <c r="A124" i="3" s="1"/>
  <c r="AH124" i="2"/>
  <c r="BA123" i="2"/>
  <c r="E123" i="3" s="1"/>
  <c r="AZ123" i="2"/>
  <c r="D123" i="3" s="1"/>
  <c r="AY123" i="2"/>
  <c r="C123" i="3" s="1"/>
  <c r="AX123" i="2"/>
  <c r="B123" i="3" s="1"/>
  <c r="H124" i="2"/>
  <c r="I124" i="2"/>
  <c r="B124" i="2"/>
  <c r="J124" i="2"/>
  <c r="C124" i="2"/>
  <c r="A125" i="2"/>
  <c r="D124" i="2"/>
  <c r="E124" i="2"/>
  <c r="F124" i="2"/>
  <c r="G124" i="2"/>
  <c r="AH125" i="2" l="1"/>
  <c r="AF125" i="2"/>
  <c r="BJ125" i="2"/>
  <c r="R125" i="2"/>
  <c r="AE125" i="2"/>
  <c r="AD125" i="2"/>
  <c r="AW125" i="2" s="1"/>
  <c r="A125" i="3" s="1"/>
  <c r="S125" i="2"/>
  <c r="BK125" i="2"/>
  <c r="AG125" i="2"/>
  <c r="AY124" i="2"/>
  <c r="C124" i="3" s="1"/>
  <c r="AX124" i="2"/>
  <c r="B124" i="3" s="1"/>
  <c r="BA124" i="2"/>
  <c r="E124" i="3" s="1"/>
  <c r="AZ124" i="2"/>
  <c r="D124" i="3" s="1"/>
  <c r="F125" i="2"/>
  <c r="G125" i="2"/>
  <c r="H125" i="2"/>
  <c r="I125" i="2"/>
  <c r="B125" i="2"/>
  <c r="J125" i="2"/>
  <c r="C125" i="2"/>
  <c r="A126" i="2"/>
  <c r="D125" i="2"/>
  <c r="E125" i="2"/>
  <c r="AF126" i="2" l="1"/>
  <c r="AD126" i="2"/>
  <c r="AW126" i="2" s="1"/>
  <c r="A126" i="3" s="1"/>
  <c r="AH126" i="2"/>
  <c r="AG126" i="2"/>
  <c r="S126" i="2"/>
  <c r="AE126" i="2"/>
  <c r="BK126" i="2"/>
  <c r="BJ126" i="2"/>
  <c r="R126" i="2"/>
  <c r="BA125" i="2"/>
  <c r="E125" i="3" s="1"/>
  <c r="AZ125" i="2"/>
  <c r="D125" i="3" s="1"/>
  <c r="AY125" i="2"/>
  <c r="C125" i="3" s="1"/>
  <c r="AX125" i="2"/>
  <c r="B125" i="3" s="1"/>
  <c r="D126" i="2"/>
  <c r="E126" i="2"/>
  <c r="F126" i="2"/>
  <c r="G126" i="2"/>
  <c r="H126" i="2"/>
  <c r="I126" i="2"/>
  <c r="B126" i="2"/>
  <c r="J126" i="2"/>
  <c r="C126" i="2"/>
  <c r="A127" i="2"/>
  <c r="AD127" i="2" l="1"/>
  <c r="AW127" i="2" s="1"/>
  <c r="A127" i="3" s="1"/>
  <c r="BK127" i="2"/>
  <c r="BJ127" i="2"/>
  <c r="R127" i="2"/>
  <c r="AG127" i="2"/>
  <c r="AF127" i="2"/>
  <c r="AH127" i="2"/>
  <c r="S127" i="2"/>
  <c r="AE127" i="2"/>
  <c r="BA126" i="2"/>
  <c r="E126" i="3" s="1"/>
  <c r="AZ126" i="2"/>
  <c r="D126" i="3" s="1"/>
  <c r="AY126" i="2"/>
  <c r="C126" i="3" s="1"/>
  <c r="AX126" i="2"/>
  <c r="B126" i="3" s="1"/>
  <c r="B127" i="2"/>
  <c r="J127" i="2"/>
  <c r="C127" i="2"/>
  <c r="A128" i="2"/>
  <c r="D127" i="2"/>
  <c r="E127" i="2"/>
  <c r="F127" i="2"/>
  <c r="G127" i="2"/>
  <c r="H127" i="2"/>
  <c r="I127" i="2"/>
  <c r="BJ128" i="2" l="1"/>
  <c r="R128" i="2"/>
  <c r="AH128" i="2"/>
  <c r="AE128" i="2"/>
  <c r="AD128" i="2"/>
  <c r="AW128" i="2" s="1"/>
  <c r="A128" i="3" s="1"/>
  <c r="AF128" i="2"/>
  <c r="S128" i="2"/>
  <c r="BK128" i="2"/>
  <c r="AG128" i="2"/>
  <c r="BA127" i="2"/>
  <c r="E127" i="3" s="1"/>
  <c r="AZ127" i="2"/>
  <c r="D127" i="3" s="1"/>
  <c r="AY127" i="2"/>
  <c r="C127" i="3" s="1"/>
  <c r="AX127" i="2"/>
  <c r="B127" i="3" s="1"/>
  <c r="H128" i="2"/>
  <c r="I128" i="2"/>
  <c r="B128" i="2"/>
  <c r="J128" i="2"/>
  <c r="C128" i="2"/>
  <c r="A129" i="2"/>
  <c r="D128" i="2"/>
  <c r="E128" i="2"/>
  <c r="F128" i="2"/>
  <c r="G128" i="2"/>
  <c r="AH129" i="2" l="1"/>
  <c r="AG129" i="2"/>
  <c r="AF129" i="2"/>
  <c r="S129" i="2"/>
  <c r="BK129" i="2"/>
  <c r="R129" i="2"/>
  <c r="BJ129" i="2"/>
  <c r="AE129" i="2"/>
  <c r="AD129" i="2"/>
  <c r="AW129" i="2" s="1"/>
  <c r="A129" i="3" s="1"/>
  <c r="AY128" i="2"/>
  <c r="C128" i="3" s="1"/>
  <c r="AX128" i="2"/>
  <c r="B128" i="3" s="1"/>
  <c r="BA128" i="2"/>
  <c r="E128" i="3" s="1"/>
  <c r="AZ128" i="2"/>
  <c r="D128" i="3" s="1"/>
  <c r="F129" i="2"/>
  <c r="G129" i="2"/>
  <c r="H129" i="2"/>
  <c r="I129" i="2"/>
  <c r="B129" i="2"/>
  <c r="J129" i="2"/>
  <c r="C129" i="2"/>
  <c r="A130" i="2"/>
  <c r="D129" i="2"/>
  <c r="E129" i="2"/>
  <c r="AG130" i="2" l="1"/>
  <c r="AF130" i="2"/>
  <c r="AE130" i="2"/>
  <c r="BK130" i="2"/>
  <c r="R130" i="2"/>
  <c r="BJ130" i="2"/>
  <c r="AD130" i="2"/>
  <c r="AW130" i="2" s="1"/>
  <c r="A130" i="3" s="1"/>
  <c r="S130" i="2"/>
  <c r="AH130" i="2"/>
  <c r="BA129" i="2"/>
  <c r="E129" i="3" s="1"/>
  <c r="AZ129" i="2"/>
  <c r="D129" i="3" s="1"/>
  <c r="AY129" i="2"/>
  <c r="C129" i="3" s="1"/>
  <c r="AX129" i="2"/>
  <c r="B129" i="3" s="1"/>
  <c r="D130" i="2"/>
  <c r="E130" i="2"/>
  <c r="F130" i="2"/>
  <c r="G130" i="2"/>
  <c r="H130" i="2"/>
  <c r="I130" i="2"/>
  <c r="B130" i="2"/>
  <c r="J130" i="2"/>
  <c r="C130" i="2"/>
  <c r="A131" i="2"/>
  <c r="AF131" i="2" l="1"/>
  <c r="AE131" i="2"/>
  <c r="AD131" i="2"/>
  <c r="AW131" i="2" s="1"/>
  <c r="A131" i="3" s="1"/>
  <c r="BJ131" i="2"/>
  <c r="AH131" i="2"/>
  <c r="BK131" i="2"/>
  <c r="S131" i="2"/>
  <c r="R131" i="2"/>
  <c r="AG131" i="2"/>
  <c r="BA130" i="2"/>
  <c r="E130" i="3" s="1"/>
  <c r="AZ130" i="2"/>
  <c r="D130" i="3" s="1"/>
  <c r="AY130" i="2"/>
  <c r="C130" i="3" s="1"/>
  <c r="AX130" i="2"/>
  <c r="B130" i="3" s="1"/>
  <c r="B131" i="2"/>
  <c r="J131" i="2"/>
  <c r="C131" i="2"/>
  <c r="A132" i="2"/>
  <c r="D131" i="2"/>
  <c r="E131" i="2"/>
  <c r="F131" i="2"/>
  <c r="G131" i="2"/>
  <c r="H131" i="2"/>
  <c r="I131" i="2"/>
  <c r="AE132" i="2" l="1"/>
  <c r="AD132" i="2"/>
  <c r="AW132" i="2" s="1"/>
  <c r="A132" i="3" s="1"/>
  <c r="S132" i="2"/>
  <c r="AH132" i="2"/>
  <c r="AG132" i="2"/>
  <c r="BJ132" i="2"/>
  <c r="AF132" i="2"/>
  <c r="R132" i="2"/>
  <c r="BK132" i="2"/>
  <c r="AY131" i="2"/>
  <c r="C131" i="3" s="1"/>
  <c r="AX131" i="2"/>
  <c r="B131" i="3" s="1"/>
  <c r="BA131" i="2"/>
  <c r="E131" i="3" s="1"/>
  <c r="AZ131" i="2"/>
  <c r="D131" i="3" s="1"/>
  <c r="H132" i="2"/>
  <c r="I132" i="2"/>
  <c r="B132" i="2"/>
  <c r="J132" i="2"/>
  <c r="C132" i="2"/>
  <c r="A133" i="2"/>
  <c r="D132" i="2"/>
  <c r="E132" i="2"/>
  <c r="F132" i="2"/>
  <c r="G132" i="2"/>
  <c r="AD133" i="2" l="1"/>
  <c r="AW133" i="2" s="1"/>
  <c r="A133" i="3" s="1"/>
  <c r="S133" i="2"/>
  <c r="BK133" i="2"/>
  <c r="R133" i="2"/>
  <c r="AG133" i="2"/>
  <c r="AF133" i="2"/>
  <c r="AH133" i="2"/>
  <c r="AE133" i="2"/>
  <c r="BJ133" i="2"/>
  <c r="BA132" i="2"/>
  <c r="E132" i="3" s="1"/>
  <c r="AZ132" i="2"/>
  <c r="D132" i="3" s="1"/>
  <c r="AY132" i="2"/>
  <c r="C132" i="3" s="1"/>
  <c r="AX132" i="2"/>
  <c r="B132" i="3" s="1"/>
  <c r="F133" i="2"/>
  <c r="G133" i="2"/>
  <c r="H133" i="2"/>
  <c r="I133" i="2"/>
  <c r="B133" i="2"/>
  <c r="J133" i="2"/>
  <c r="C133" i="2"/>
  <c r="A134" i="2"/>
  <c r="D133" i="2"/>
  <c r="E133" i="2"/>
  <c r="S134" i="2" l="1"/>
  <c r="BK134" i="2"/>
  <c r="R134" i="2"/>
  <c r="BJ134" i="2"/>
  <c r="AF134" i="2"/>
  <c r="AE134" i="2"/>
  <c r="AH134" i="2"/>
  <c r="AD134" i="2"/>
  <c r="AW134" i="2" s="1"/>
  <c r="A134" i="3" s="1"/>
  <c r="AG134" i="2"/>
  <c r="BA133" i="2"/>
  <c r="E133" i="3" s="1"/>
  <c r="AZ133" i="2"/>
  <c r="D133" i="3" s="1"/>
  <c r="AY133" i="2"/>
  <c r="C133" i="3" s="1"/>
  <c r="AX133" i="2"/>
  <c r="B133" i="3" s="1"/>
  <c r="D134" i="2"/>
  <c r="E134" i="2"/>
  <c r="F134" i="2"/>
  <c r="G134" i="2"/>
  <c r="H134" i="2"/>
  <c r="I134" i="2"/>
  <c r="B134" i="2"/>
  <c r="J134" i="2"/>
  <c r="C134" i="2"/>
  <c r="A135" i="2"/>
  <c r="BK135" i="2" l="1"/>
  <c r="R135" i="2"/>
  <c r="BJ135" i="2"/>
  <c r="AH135" i="2"/>
  <c r="AE135" i="2"/>
  <c r="AD135" i="2"/>
  <c r="AW135" i="2" s="1"/>
  <c r="A135" i="3" s="1"/>
  <c r="S135" i="2"/>
  <c r="AG135" i="2"/>
  <c r="AF135" i="2"/>
  <c r="AY134" i="2"/>
  <c r="C134" i="3" s="1"/>
  <c r="AX134" i="2"/>
  <c r="B134" i="3" s="1"/>
  <c r="BA134" i="2"/>
  <c r="E134" i="3" s="1"/>
  <c r="AZ134" i="2"/>
  <c r="D134" i="3" s="1"/>
  <c r="B135" i="2"/>
  <c r="J135" i="2"/>
  <c r="C135" i="2"/>
  <c r="A136" i="2"/>
  <c r="D135" i="2"/>
  <c r="E135" i="2"/>
  <c r="F135" i="2"/>
  <c r="G135" i="2"/>
  <c r="H135" i="2"/>
  <c r="I135" i="2"/>
  <c r="BJ136" i="2" l="1"/>
  <c r="AH136" i="2"/>
  <c r="AG136" i="2"/>
  <c r="AD136" i="2"/>
  <c r="AW136" i="2" s="1"/>
  <c r="A136" i="3" s="1"/>
  <c r="S136" i="2"/>
  <c r="BK136" i="2"/>
  <c r="AF136" i="2"/>
  <c r="R136" i="2"/>
  <c r="AE136" i="2"/>
  <c r="BA135" i="2"/>
  <c r="E135" i="3" s="1"/>
  <c r="AZ135" i="2"/>
  <c r="D135" i="3" s="1"/>
  <c r="AY135" i="2"/>
  <c r="C135" i="3" s="1"/>
  <c r="AX135" i="2"/>
  <c r="B135" i="3" s="1"/>
  <c r="H136" i="2"/>
  <c r="I136" i="2"/>
  <c r="B136" i="2"/>
  <c r="J136" i="2"/>
  <c r="C136" i="2"/>
  <c r="A137" i="2"/>
  <c r="D136" i="2"/>
  <c r="E136" i="2"/>
  <c r="F136" i="2"/>
  <c r="G136" i="2"/>
  <c r="AH137" i="2" l="1"/>
  <c r="AG137" i="2"/>
  <c r="AF137" i="2"/>
  <c r="S137" i="2"/>
  <c r="BK137" i="2"/>
  <c r="R137" i="2"/>
  <c r="AE137" i="2"/>
  <c r="AD137" i="2"/>
  <c r="AW137" i="2" s="1"/>
  <c r="A137" i="3" s="1"/>
  <c r="BJ137" i="2"/>
  <c r="BA136" i="2"/>
  <c r="E136" i="3" s="1"/>
  <c r="AZ136" i="2"/>
  <c r="D136" i="3" s="1"/>
  <c r="AY136" i="2"/>
  <c r="C136" i="3" s="1"/>
  <c r="AX136" i="2"/>
  <c r="B136" i="3" s="1"/>
  <c r="F137" i="2"/>
  <c r="G137" i="2"/>
  <c r="H137" i="2"/>
  <c r="I137" i="2"/>
  <c r="B137" i="2"/>
  <c r="J137" i="2"/>
  <c r="C137" i="2"/>
  <c r="A138" i="2"/>
  <c r="D137" i="2"/>
  <c r="E137" i="2"/>
  <c r="AG138" i="2" l="1"/>
  <c r="AF138" i="2"/>
  <c r="AE138" i="2"/>
  <c r="BK138" i="2"/>
  <c r="R138" i="2"/>
  <c r="BJ138" i="2"/>
  <c r="AD138" i="2"/>
  <c r="AW138" i="2" s="1"/>
  <c r="A138" i="3" s="1"/>
  <c r="S138" i="2"/>
  <c r="AH138" i="2"/>
  <c r="AX137" i="2"/>
  <c r="B137" i="3" s="1"/>
  <c r="BA137" i="2"/>
  <c r="E137" i="3" s="1"/>
  <c r="AZ137" i="2"/>
  <c r="D137" i="3" s="1"/>
  <c r="AY137" i="2"/>
  <c r="C137" i="3" s="1"/>
  <c r="D138" i="2"/>
  <c r="E138" i="2"/>
  <c r="F138" i="2"/>
  <c r="G138" i="2"/>
  <c r="H138" i="2"/>
  <c r="I138" i="2"/>
  <c r="B138" i="2"/>
  <c r="J138" i="2"/>
  <c r="C138" i="2"/>
  <c r="A139" i="2"/>
  <c r="AF139" i="2" l="1"/>
  <c r="AE139" i="2"/>
  <c r="AD139" i="2"/>
  <c r="AW139" i="2" s="1"/>
  <c r="A139" i="3" s="1"/>
  <c r="BJ139" i="2"/>
  <c r="AH139" i="2"/>
  <c r="BK139" i="2"/>
  <c r="AG139" i="2"/>
  <c r="R139" i="2"/>
  <c r="S139" i="2"/>
  <c r="BA138" i="2"/>
  <c r="E138" i="3" s="1"/>
  <c r="AZ138" i="2"/>
  <c r="D138" i="3" s="1"/>
  <c r="AY138" i="2"/>
  <c r="C138" i="3" s="1"/>
  <c r="AX138" i="2"/>
  <c r="B138" i="3" s="1"/>
  <c r="B139" i="2"/>
  <c r="J139" i="2"/>
  <c r="C139" i="2"/>
  <c r="A140" i="2"/>
  <c r="D139" i="2"/>
  <c r="E139" i="2"/>
  <c r="F139" i="2"/>
  <c r="G139" i="2"/>
  <c r="H139" i="2"/>
  <c r="I139" i="2"/>
  <c r="AE140" i="2" l="1"/>
  <c r="AD140" i="2"/>
  <c r="AW140" i="2" s="1"/>
  <c r="A140" i="3" s="1"/>
  <c r="S140" i="2"/>
  <c r="AH140" i="2"/>
  <c r="AG140" i="2"/>
  <c r="BJ140" i="2"/>
  <c r="AF140" i="2"/>
  <c r="R140" i="2"/>
  <c r="BK140" i="2"/>
  <c r="BA139" i="2"/>
  <c r="E139" i="3" s="1"/>
  <c r="AZ139" i="2"/>
  <c r="D139" i="3" s="1"/>
  <c r="AY139" i="2"/>
  <c r="C139" i="3" s="1"/>
  <c r="AX139" i="2"/>
  <c r="B139" i="3" s="1"/>
  <c r="H140" i="2"/>
  <c r="I140" i="2"/>
  <c r="B140" i="2"/>
  <c r="J140" i="2"/>
  <c r="C140" i="2"/>
  <c r="A141" i="2"/>
  <c r="D140" i="2"/>
  <c r="E140" i="2"/>
  <c r="F140" i="2"/>
  <c r="G140" i="2"/>
  <c r="AD141" i="2" l="1"/>
  <c r="AW141" i="2" s="1"/>
  <c r="A141" i="3" s="1"/>
  <c r="S141" i="2"/>
  <c r="BK141" i="2"/>
  <c r="R141" i="2"/>
  <c r="AG141" i="2"/>
  <c r="AF141" i="2"/>
  <c r="BJ141" i="2"/>
  <c r="AE141" i="2"/>
  <c r="AH141" i="2"/>
  <c r="AX140" i="2"/>
  <c r="B140" i="3" s="1"/>
  <c r="BA140" i="2"/>
  <c r="E140" i="3" s="1"/>
  <c r="AZ140" i="2"/>
  <c r="D140" i="3" s="1"/>
  <c r="AY140" i="2"/>
  <c r="C140" i="3" s="1"/>
  <c r="F141" i="2"/>
  <c r="G141" i="2"/>
  <c r="H141" i="2"/>
  <c r="I141" i="2"/>
  <c r="B141" i="2"/>
  <c r="J141" i="2"/>
  <c r="C141" i="2"/>
  <c r="A142" i="2"/>
  <c r="D141" i="2"/>
  <c r="E141" i="2"/>
  <c r="S142" i="2" l="1"/>
  <c r="BK142" i="2"/>
  <c r="R142" i="2"/>
  <c r="BJ142" i="2"/>
  <c r="AF142" i="2"/>
  <c r="AE142" i="2"/>
  <c r="AD142" i="2"/>
  <c r="AW142" i="2" s="1"/>
  <c r="A142" i="3" s="1"/>
  <c r="AG142" i="2"/>
  <c r="AH142" i="2"/>
  <c r="AZ141" i="2"/>
  <c r="D141" i="3" s="1"/>
  <c r="AY141" i="2"/>
  <c r="C141" i="3" s="1"/>
  <c r="AX141" i="2"/>
  <c r="B141" i="3" s="1"/>
  <c r="BA141" i="2"/>
  <c r="E141" i="3" s="1"/>
  <c r="D142" i="2"/>
  <c r="E142" i="2"/>
  <c r="F142" i="2"/>
  <c r="G142" i="2"/>
  <c r="H142" i="2"/>
  <c r="I142" i="2"/>
  <c r="B142" i="2"/>
  <c r="J142" i="2"/>
  <c r="C142" i="2"/>
  <c r="A143" i="2"/>
  <c r="BK143" i="2" l="1"/>
  <c r="R143" i="2"/>
  <c r="BJ143" i="2"/>
  <c r="AH143" i="2"/>
  <c r="AE143" i="2"/>
  <c r="AD143" i="2"/>
  <c r="AW143" i="2" s="1"/>
  <c r="A143" i="3" s="1"/>
  <c r="AG143" i="2"/>
  <c r="S143" i="2"/>
  <c r="AF143" i="2"/>
  <c r="BA142" i="2"/>
  <c r="E142" i="3" s="1"/>
  <c r="AZ142" i="2"/>
  <c r="D142" i="3" s="1"/>
  <c r="AY142" i="2"/>
  <c r="C142" i="3" s="1"/>
  <c r="AX142" i="2"/>
  <c r="B142" i="3" s="1"/>
  <c r="B143" i="2"/>
  <c r="J143" i="2"/>
  <c r="C143" i="2"/>
  <c r="A144" i="2"/>
  <c r="D143" i="2"/>
  <c r="E143" i="2"/>
  <c r="F143" i="2"/>
  <c r="G143" i="2"/>
  <c r="H143" i="2"/>
  <c r="I143" i="2"/>
  <c r="BJ144" i="2" l="1"/>
  <c r="AH144" i="2"/>
  <c r="AG144" i="2"/>
  <c r="AD144" i="2"/>
  <c r="AW144" i="2" s="1"/>
  <c r="A144" i="3" s="1"/>
  <c r="S144" i="2"/>
  <c r="AF144" i="2"/>
  <c r="AE144" i="2"/>
  <c r="R144" i="2"/>
  <c r="BK144" i="2"/>
  <c r="AX143" i="2"/>
  <c r="B143" i="3" s="1"/>
  <c r="BA143" i="2"/>
  <c r="E143" i="3" s="1"/>
  <c r="AZ143" i="2"/>
  <c r="D143" i="3" s="1"/>
  <c r="AY143" i="2"/>
  <c r="C143" i="3" s="1"/>
  <c r="H144" i="2"/>
  <c r="I144" i="2"/>
  <c r="B144" i="2"/>
  <c r="J144" i="2"/>
  <c r="C144" i="2"/>
  <c r="A145" i="2"/>
  <c r="D144" i="2"/>
  <c r="E144" i="2"/>
  <c r="F144" i="2"/>
  <c r="G144" i="2"/>
  <c r="AH145" i="2" l="1"/>
  <c r="AG145" i="2"/>
  <c r="AF145" i="2"/>
  <c r="S145" i="2"/>
  <c r="BK145" i="2"/>
  <c r="R145" i="2"/>
  <c r="AE145" i="2"/>
  <c r="AD145" i="2"/>
  <c r="AW145" i="2" s="1"/>
  <c r="A145" i="3" s="1"/>
  <c r="BJ145" i="2"/>
  <c r="BA144" i="2"/>
  <c r="E144" i="3" s="1"/>
  <c r="AZ144" i="2"/>
  <c r="D144" i="3" s="1"/>
  <c r="AY144" i="2"/>
  <c r="C144" i="3" s="1"/>
  <c r="AX144" i="2"/>
  <c r="B144" i="3" s="1"/>
  <c r="F145" i="2"/>
  <c r="G145" i="2"/>
  <c r="H145" i="2"/>
  <c r="I145" i="2"/>
  <c r="B145" i="2"/>
  <c r="J145" i="2"/>
  <c r="C145" i="2"/>
  <c r="A146" i="2"/>
  <c r="D145" i="2"/>
  <c r="E145" i="2"/>
  <c r="AG146" i="2" l="1"/>
  <c r="AF146" i="2"/>
  <c r="AE146" i="2"/>
  <c r="BK146" i="2"/>
  <c r="R146" i="2"/>
  <c r="BJ146" i="2"/>
  <c r="AH146" i="2"/>
  <c r="AD146" i="2"/>
  <c r="AW146" i="2" s="1"/>
  <c r="A146" i="3" s="1"/>
  <c r="S146" i="2"/>
  <c r="BA145" i="2"/>
  <c r="E145" i="3" s="1"/>
  <c r="AZ145" i="2"/>
  <c r="D145" i="3" s="1"/>
  <c r="AY145" i="2"/>
  <c r="C145" i="3" s="1"/>
  <c r="AX145" i="2"/>
  <c r="B145" i="3" s="1"/>
  <c r="D146" i="2"/>
  <c r="E146" i="2"/>
  <c r="F146" i="2"/>
  <c r="G146" i="2"/>
  <c r="H146" i="2"/>
  <c r="I146" i="2"/>
  <c r="B146" i="2"/>
  <c r="J146" i="2"/>
  <c r="C146" i="2"/>
  <c r="A147" i="2"/>
  <c r="AF147" i="2" l="1"/>
  <c r="AE147" i="2"/>
  <c r="AD147" i="2"/>
  <c r="AW147" i="2" s="1"/>
  <c r="A147" i="3" s="1"/>
  <c r="BJ147" i="2"/>
  <c r="AH147" i="2"/>
  <c r="R147" i="2"/>
  <c r="BK147" i="2"/>
  <c r="S147" i="2"/>
  <c r="AG147" i="2"/>
  <c r="AX146" i="2"/>
  <c r="B146" i="3" s="1"/>
  <c r="BA146" i="2"/>
  <c r="E146" i="3" s="1"/>
  <c r="AZ146" i="2"/>
  <c r="D146" i="3" s="1"/>
  <c r="AY146" i="2"/>
  <c r="C146" i="3" s="1"/>
  <c r="B147" i="2"/>
  <c r="J147" i="2"/>
  <c r="C147" i="2"/>
  <c r="A148" i="2"/>
  <c r="D147" i="2"/>
  <c r="E147" i="2"/>
  <c r="F147" i="2"/>
  <c r="G147" i="2"/>
  <c r="H147" i="2"/>
  <c r="I147" i="2"/>
  <c r="AE148" i="2" l="1"/>
  <c r="AD148" i="2"/>
  <c r="AW148" i="2" s="1"/>
  <c r="A148" i="3" s="1"/>
  <c r="S148" i="2"/>
  <c r="AH148" i="2"/>
  <c r="AG148" i="2"/>
  <c r="BK148" i="2"/>
  <c r="AF148" i="2"/>
  <c r="BJ148" i="2"/>
  <c r="R148" i="2"/>
  <c r="BA147" i="2"/>
  <c r="E147" i="3" s="1"/>
  <c r="AZ147" i="2"/>
  <c r="D147" i="3" s="1"/>
  <c r="AY147" i="2"/>
  <c r="C147" i="3" s="1"/>
  <c r="AX147" i="2"/>
  <c r="B147" i="3" s="1"/>
  <c r="H148" i="2"/>
  <c r="I148" i="2"/>
  <c r="B148" i="2"/>
  <c r="J148" i="2"/>
  <c r="C148" i="2"/>
  <c r="A149" i="2"/>
  <c r="D148" i="2"/>
  <c r="E148" i="2"/>
  <c r="F148" i="2"/>
  <c r="G148" i="2"/>
  <c r="AD149" i="2" l="1"/>
  <c r="AW149" i="2" s="1"/>
  <c r="A149" i="3" s="1"/>
  <c r="S149" i="2"/>
  <c r="BK149" i="2"/>
  <c r="R149" i="2"/>
  <c r="AG149" i="2"/>
  <c r="AF149" i="2"/>
  <c r="AE149" i="2"/>
  <c r="BJ149" i="2"/>
  <c r="AH149" i="2"/>
  <c r="BA148" i="2"/>
  <c r="E148" i="3" s="1"/>
  <c r="AZ148" i="2"/>
  <c r="D148" i="3" s="1"/>
  <c r="AY148" i="2"/>
  <c r="C148" i="3" s="1"/>
  <c r="AX148" i="2"/>
  <c r="B148" i="3" s="1"/>
  <c r="F149" i="2"/>
  <c r="G149" i="2"/>
  <c r="H149" i="2"/>
  <c r="I149" i="2"/>
  <c r="B149" i="2"/>
  <c r="J149" i="2"/>
  <c r="C149" i="2"/>
  <c r="A150" i="2"/>
  <c r="D149" i="2"/>
  <c r="E149" i="2"/>
  <c r="S150" i="2" l="1"/>
  <c r="BK150" i="2"/>
  <c r="R150" i="2"/>
  <c r="BJ150" i="2"/>
  <c r="AF150" i="2"/>
  <c r="AE150" i="2"/>
  <c r="AH150" i="2"/>
  <c r="AD150" i="2"/>
  <c r="AW150" i="2" s="1"/>
  <c r="A150" i="3" s="1"/>
  <c r="AG150" i="2"/>
  <c r="AX149" i="2"/>
  <c r="B149" i="3" s="1"/>
  <c r="BA149" i="2"/>
  <c r="E149" i="3" s="1"/>
  <c r="AZ149" i="2"/>
  <c r="D149" i="3" s="1"/>
  <c r="AY149" i="2"/>
  <c r="C149" i="3" s="1"/>
  <c r="D150" i="2"/>
  <c r="E150" i="2"/>
  <c r="F150" i="2"/>
  <c r="G150" i="2"/>
  <c r="H150" i="2"/>
  <c r="I150" i="2"/>
  <c r="B150" i="2"/>
  <c r="J150" i="2"/>
  <c r="C150" i="2"/>
  <c r="A151" i="2"/>
  <c r="BK151" i="2" l="1"/>
  <c r="R151" i="2"/>
  <c r="BJ151" i="2"/>
  <c r="AH151" i="2"/>
  <c r="AE151" i="2"/>
  <c r="AD151" i="2"/>
  <c r="AW151" i="2" s="1"/>
  <c r="A151" i="3" s="1"/>
  <c r="AG151" i="2"/>
  <c r="AF151" i="2"/>
  <c r="S151" i="2"/>
  <c r="BA150" i="2"/>
  <c r="E150" i="3" s="1"/>
  <c r="AZ150" i="2"/>
  <c r="D150" i="3" s="1"/>
  <c r="AY150" i="2"/>
  <c r="C150" i="3" s="1"/>
  <c r="AX150" i="2"/>
  <c r="B150" i="3" s="1"/>
  <c r="B151" i="2"/>
  <c r="J151" i="2"/>
  <c r="C151" i="2"/>
  <c r="A152" i="2"/>
  <c r="D151" i="2"/>
  <c r="E151" i="2"/>
  <c r="F151" i="2"/>
  <c r="G151" i="2"/>
  <c r="I151" i="2"/>
  <c r="H151" i="2"/>
  <c r="BJ152" i="2" l="1"/>
  <c r="AH152" i="2"/>
  <c r="AG152" i="2"/>
  <c r="AD152" i="2"/>
  <c r="AW152" i="2" s="1"/>
  <c r="A152" i="3" s="1"/>
  <c r="S152" i="2"/>
  <c r="AF152" i="2"/>
  <c r="R152" i="2"/>
  <c r="AE152" i="2"/>
  <c r="BK152" i="2"/>
  <c r="BA151" i="2"/>
  <c r="E151" i="3" s="1"/>
  <c r="AZ151" i="2"/>
  <c r="D151" i="3" s="1"/>
  <c r="AY151" i="2"/>
  <c r="C151" i="3" s="1"/>
  <c r="AX151" i="2"/>
  <c r="B151" i="3" s="1"/>
  <c r="H152" i="2"/>
  <c r="I152" i="2"/>
  <c r="B152" i="2"/>
  <c r="J152" i="2"/>
  <c r="C152" i="2"/>
  <c r="A153" i="2"/>
  <c r="D152" i="2"/>
  <c r="E152" i="2"/>
  <c r="G152" i="2"/>
  <c r="F152" i="2"/>
  <c r="AH153" i="2" l="1"/>
  <c r="AG153" i="2"/>
  <c r="AF153" i="2"/>
  <c r="S153" i="2"/>
  <c r="BK153" i="2"/>
  <c r="R153" i="2"/>
  <c r="BJ153" i="2"/>
  <c r="AD153" i="2"/>
  <c r="AW153" i="2" s="1"/>
  <c r="A153" i="3" s="1"/>
  <c r="AE153" i="2"/>
  <c r="AY152" i="2"/>
  <c r="C152" i="3" s="1"/>
  <c r="AX152" i="2"/>
  <c r="B152" i="3" s="1"/>
  <c r="BA152" i="2"/>
  <c r="E152" i="3" s="1"/>
  <c r="AZ152" i="2"/>
  <c r="D152" i="3" s="1"/>
  <c r="F153" i="2"/>
  <c r="G153" i="2"/>
  <c r="I153" i="2"/>
  <c r="B153" i="2"/>
  <c r="J153" i="2"/>
  <c r="E153" i="2"/>
  <c r="C153" i="2"/>
  <c r="D153" i="2"/>
  <c r="H153" i="2"/>
  <c r="A154" i="2"/>
  <c r="AG154" i="2" l="1"/>
  <c r="AF154" i="2"/>
  <c r="AE154" i="2"/>
  <c r="BK154" i="2"/>
  <c r="R154" i="2"/>
  <c r="BJ154" i="2"/>
  <c r="S154" i="2"/>
  <c r="AH154" i="2"/>
  <c r="AD154" i="2"/>
  <c r="AW154" i="2" s="1"/>
  <c r="A154" i="3" s="1"/>
  <c r="BA153" i="2"/>
  <c r="E153" i="3" s="1"/>
  <c r="AZ153" i="2"/>
  <c r="D153" i="3" s="1"/>
  <c r="AY153" i="2"/>
  <c r="C153" i="3" s="1"/>
  <c r="AX153" i="2"/>
  <c r="B153" i="3" s="1"/>
  <c r="D154" i="2"/>
  <c r="E154" i="2"/>
  <c r="G154" i="2"/>
  <c r="H154" i="2"/>
  <c r="C154" i="2"/>
  <c r="A155" i="2"/>
  <c r="F154" i="2"/>
  <c r="I154" i="2"/>
  <c r="J154" i="2"/>
  <c r="B154" i="2"/>
  <c r="AF155" i="2" l="1"/>
  <c r="AE155" i="2"/>
  <c r="AD155" i="2"/>
  <c r="AW155" i="2" s="1"/>
  <c r="A155" i="3" s="1"/>
  <c r="BJ155" i="2"/>
  <c r="AH155" i="2"/>
  <c r="AG155" i="2"/>
  <c r="BK155" i="2"/>
  <c r="R155" i="2"/>
  <c r="S155" i="2"/>
  <c r="BA154" i="2"/>
  <c r="E154" i="3" s="1"/>
  <c r="AZ154" i="2"/>
  <c r="D154" i="3" s="1"/>
  <c r="AY154" i="2"/>
  <c r="C154" i="3" s="1"/>
  <c r="AX154" i="2"/>
  <c r="B154" i="3" s="1"/>
  <c r="B155" i="2"/>
  <c r="J155" i="2"/>
  <c r="C155" i="2"/>
  <c r="A156" i="2"/>
  <c r="E155" i="2"/>
  <c r="I155" i="2"/>
  <c r="D155" i="2"/>
  <c r="F155" i="2"/>
  <c r="G155" i="2"/>
  <c r="H155" i="2"/>
  <c r="AE156" i="2" l="1"/>
  <c r="AD156" i="2"/>
  <c r="AW156" i="2" s="1"/>
  <c r="A156" i="3" s="1"/>
  <c r="S156" i="2"/>
  <c r="AH156" i="2"/>
  <c r="AG156" i="2"/>
  <c r="AF156" i="2"/>
  <c r="R156" i="2"/>
  <c r="BJ156" i="2"/>
  <c r="BK156" i="2"/>
  <c r="AY155" i="2"/>
  <c r="C155" i="3" s="1"/>
  <c r="AX155" i="2"/>
  <c r="B155" i="3" s="1"/>
  <c r="BA155" i="2"/>
  <c r="E155" i="3" s="1"/>
  <c r="AZ155" i="2"/>
  <c r="D155" i="3" s="1"/>
  <c r="H156" i="2"/>
  <c r="I156" i="2"/>
  <c r="C156" i="2"/>
  <c r="A157" i="2"/>
  <c r="D156" i="2"/>
  <c r="E156" i="2"/>
  <c r="F156" i="2"/>
  <c r="G156" i="2"/>
  <c r="J156" i="2"/>
  <c r="B156" i="2"/>
  <c r="AD157" i="2" l="1"/>
  <c r="AW157" i="2" s="1"/>
  <c r="A157" i="3" s="1"/>
  <c r="S157" i="2"/>
  <c r="BK157" i="2"/>
  <c r="R157" i="2"/>
  <c r="AG157" i="2"/>
  <c r="AF157" i="2"/>
  <c r="BJ157" i="2"/>
  <c r="AE157" i="2"/>
  <c r="AH157" i="2"/>
  <c r="BA156" i="2"/>
  <c r="E156" i="3" s="1"/>
  <c r="AZ156" i="2"/>
  <c r="D156" i="3" s="1"/>
  <c r="AY156" i="2"/>
  <c r="C156" i="3" s="1"/>
  <c r="AX156" i="2"/>
  <c r="B156" i="3" s="1"/>
  <c r="F157" i="2"/>
  <c r="G157" i="2"/>
  <c r="I157" i="2"/>
  <c r="E157" i="2"/>
  <c r="H157" i="2"/>
  <c r="J157" i="2"/>
  <c r="A158" i="2"/>
  <c r="B157" i="2"/>
  <c r="C157" i="2"/>
  <c r="D157" i="2"/>
  <c r="S158" i="2" l="1"/>
  <c r="BK158" i="2"/>
  <c r="R158" i="2"/>
  <c r="BJ158" i="2"/>
  <c r="AF158" i="2"/>
  <c r="AE158" i="2"/>
  <c r="AH158" i="2"/>
  <c r="AG158" i="2"/>
  <c r="AD158" i="2"/>
  <c r="AW158" i="2" s="1"/>
  <c r="A158" i="3" s="1"/>
  <c r="BA157" i="2"/>
  <c r="E157" i="3" s="1"/>
  <c r="AZ157" i="2"/>
  <c r="D157" i="3" s="1"/>
  <c r="AY157" i="2"/>
  <c r="C157" i="3" s="1"/>
  <c r="AX157" i="2"/>
  <c r="B157" i="3" s="1"/>
  <c r="D158" i="2"/>
  <c r="E158" i="2"/>
  <c r="G158" i="2"/>
  <c r="I158" i="2"/>
  <c r="J158" i="2"/>
  <c r="A159" i="2"/>
  <c r="B158" i="2"/>
  <c r="C158" i="2"/>
  <c r="F158" i="2"/>
  <c r="H158" i="2"/>
  <c r="BK159" i="2" l="1"/>
  <c r="R159" i="2"/>
  <c r="BJ159" i="2"/>
  <c r="AH159" i="2"/>
  <c r="AE159" i="2"/>
  <c r="AD159" i="2"/>
  <c r="AW159" i="2" s="1"/>
  <c r="A159" i="3" s="1"/>
  <c r="AG159" i="2"/>
  <c r="AF159" i="2"/>
  <c r="S159" i="2"/>
  <c r="AY158" i="2"/>
  <c r="C158" i="3" s="1"/>
  <c r="AX158" i="2"/>
  <c r="B158" i="3" s="1"/>
  <c r="BA158" i="2"/>
  <c r="E158" i="3" s="1"/>
  <c r="AZ158" i="2"/>
  <c r="D158" i="3" s="1"/>
  <c r="B159" i="2"/>
  <c r="J159" i="2"/>
  <c r="C159" i="2"/>
  <c r="A160" i="2"/>
  <c r="E159" i="2"/>
  <c r="D159" i="2"/>
  <c r="F159" i="2"/>
  <c r="G159" i="2"/>
  <c r="H159" i="2"/>
  <c r="I159" i="2"/>
  <c r="BJ160" i="2" l="1"/>
  <c r="AH160" i="2"/>
  <c r="AG160" i="2"/>
  <c r="AD160" i="2"/>
  <c r="AW160" i="2" s="1"/>
  <c r="A160" i="3" s="1"/>
  <c r="S160" i="2"/>
  <c r="BK160" i="2"/>
  <c r="AE160" i="2"/>
  <c r="AF160" i="2"/>
  <c r="R160" i="2"/>
  <c r="BA159" i="2"/>
  <c r="E159" i="3" s="1"/>
  <c r="AZ159" i="2"/>
  <c r="D159" i="3" s="1"/>
  <c r="AY159" i="2"/>
  <c r="C159" i="3" s="1"/>
  <c r="AX159" i="2"/>
  <c r="B159" i="3" s="1"/>
  <c r="H160" i="2"/>
  <c r="I160" i="2"/>
  <c r="C160" i="2"/>
  <c r="A161" i="2"/>
  <c r="B160" i="2"/>
  <c r="D160" i="2"/>
  <c r="E160" i="2"/>
  <c r="F160" i="2"/>
  <c r="G160" i="2"/>
  <c r="J160" i="2"/>
  <c r="AH161" i="2" l="1"/>
  <c r="AG161" i="2"/>
  <c r="AF161" i="2"/>
  <c r="S161" i="2"/>
  <c r="BK161" i="2"/>
  <c r="R161" i="2"/>
  <c r="AD161" i="2"/>
  <c r="AW161" i="2" s="1"/>
  <c r="A161" i="3" s="1"/>
  <c r="AE161" i="2"/>
  <c r="BJ161" i="2"/>
  <c r="BA160" i="2"/>
  <c r="E160" i="3" s="1"/>
  <c r="AZ160" i="2"/>
  <c r="D160" i="3" s="1"/>
  <c r="AY160" i="2"/>
  <c r="C160" i="3" s="1"/>
  <c r="AX160" i="2"/>
  <c r="B160" i="3" s="1"/>
  <c r="F161" i="2"/>
  <c r="G161" i="2"/>
  <c r="I161" i="2"/>
  <c r="D161" i="2"/>
  <c r="E161" i="2"/>
  <c r="H161" i="2"/>
  <c r="J161" i="2"/>
  <c r="A162" i="2"/>
  <c r="B161" i="2"/>
  <c r="C161" i="2"/>
  <c r="AG162" i="2" l="1"/>
  <c r="AF162" i="2"/>
  <c r="AE162" i="2"/>
  <c r="BK162" i="2"/>
  <c r="R162" i="2"/>
  <c r="BJ162" i="2"/>
  <c r="AH162" i="2"/>
  <c r="S162" i="2"/>
  <c r="AD162" i="2"/>
  <c r="AW162" i="2" s="1"/>
  <c r="A162" i="3" s="1"/>
  <c r="AY161" i="2"/>
  <c r="C161" i="3" s="1"/>
  <c r="AX161" i="2"/>
  <c r="B161" i="3" s="1"/>
  <c r="BA161" i="2"/>
  <c r="E161" i="3" s="1"/>
  <c r="AZ161" i="2"/>
  <c r="D161" i="3" s="1"/>
  <c r="D162" i="2"/>
  <c r="E162" i="2"/>
  <c r="G162" i="2"/>
  <c r="H162" i="2"/>
  <c r="I162" i="2"/>
  <c r="J162" i="2"/>
  <c r="A163" i="2"/>
  <c r="B162" i="2"/>
  <c r="C162" i="2"/>
  <c r="F162" i="2"/>
  <c r="AF163" i="2" l="1"/>
  <c r="AE163" i="2"/>
  <c r="AD163" i="2"/>
  <c r="AW163" i="2" s="1"/>
  <c r="A163" i="3" s="1"/>
  <c r="BJ163" i="2"/>
  <c r="AH163" i="2"/>
  <c r="AG163" i="2"/>
  <c r="S163" i="2"/>
  <c r="R163" i="2"/>
  <c r="BK163" i="2"/>
  <c r="BA162" i="2"/>
  <c r="E162" i="3" s="1"/>
  <c r="AZ162" i="2"/>
  <c r="D162" i="3" s="1"/>
  <c r="AY162" i="2"/>
  <c r="C162" i="3" s="1"/>
  <c r="AX162" i="2"/>
  <c r="B162" i="3" s="1"/>
  <c r="B163" i="2"/>
  <c r="J163" i="2"/>
  <c r="C163" i="2"/>
  <c r="A164" i="2"/>
  <c r="E163" i="2"/>
  <c r="I163" i="2"/>
  <c r="D163" i="2"/>
  <c r="F163" i="2"/>
  <c r="G163" i="2"/>
  <c r="H163" i="2"/>
  <c r="AE164" i="2" l="1"/>
  <c r="AD164" i="2"/>
  <c r="AW164" i="2" s="1"/>
  <c r="A164" i="3" s="1"/>
  <c r="S164" i="2"/>
  <c r="AH164" i="2"/>
  <c r="AG164" i="2"/>
  <c r="BK164" i="2"/>
  <c r="AF164" i="2"/>
  <c r="R164" i="2"/>
  <c r="BJ164" i="2"/>
  <c r="BA163" i="2"/>
  <c r="E163" i="3" s="1"/>
  <c r="AZ163" i="2"/>
  <c r="D163" i="3" s="1"/>
  <c r="AY163" i="2"/>
  <c r="C163" i="3" s="1"/>
  <c r="AX163" i="2"/>
  <c r="B163" i="3" s="1"/>
  <c r="H164" i="2"/>
  <c r="I164" i="2"/>
  <c r="C164" i="2"/>
  <c r="A165" i="2"/>
  <c r="B164" i="2"/>
  <c r="D164" i="2"/>
  <c r="E164" i="2"/>
  <c r="F164" i="2"/>
  <c r="G164" i="2"/>
  <c r="J164" i="2"/>
  <c r="AD165" i="2" l="1"/>
  <c r="AW165" i="2" s="1"/>
  <c r="A165" i="3" s="1"/>
  <c r="S165" i="2"/>
  <c r="BK165" i="2"/>
  <c r="R165" i="2"/>
  <c r="AG165" i="2"/>
  <c r="AF165" i="2"/>
  <c r="BJ165" i="2"/>
  <c r="AH165" i="2"/>
  <c r="AE165" i="2"/>
  <c r="AZ164" i="2"/>
  <c r="D164" i="3" s="1"/>
  <c r="AY164" i="2"/>
  <c r="C164" i="3" s="1"/>
  <c r="AX164" i="2"/>
  <c r="B164" i="3" s="1"/>
  <c r="BA164" i="2"/>
  <c r="E164" i="3" s="1"/>
  <c r="F165" i="2"/>
  <c r="G165" i="2"/>
  <c r="I165" i="2"/>
  <c r="C165" i="2"/>
  <c r="D165" i="2"/>
  <c r="E165" i="2"/>
  <c r="H165" i="2"/>
  <c r="J165" i="2"/>
  <c r="A166" i="2"/>
  <c r="B165" i="2"/>
  <c r="S166" i="2" l="1"/>
  <c r="BK166" i="2"/>
  <c r="R166" i="2"/>
  <c r="BJ166" i="2"/>
  <c r="AF166" i="2"/>
  <c r="AE166" i="2"/>
  <c r="AH166" i="2"/>
  <c r="AD166" i="2"/>
  <c r="AW166" i="2" s="1"/>
  <c r="A166" i="3" s="1"/>
  <c r="AG166" i="2"/>
  <c r="BA165" i="2"/>
  <c r="E165" i="3" s="1"/>
  <c r="AZ165" i="2"/>
  <c r="D165" i="3" s="1"/>
  <c r="AY165" i="2"/>
  <c r="C165" i="3" s="1"/>
  <c r="AX165" i="2"/>
  <c r="B165" i="3" s="1"/>
  <c r="E166" i="2"/>
  <c r="D166" i="2"/>
  <c r="F166" i="2"/>
  <c r="G166" i="2"/>
  <c r="H166" i="2"/>
  <c r="I166" i="2"/>
  <c r="J166" i="2"/>
  <c r="B166" i="2"/>
  <c r="A167" i="2"/>
  <c r="C166" i="2"/>
  <c r="BK167" i="2" l="1"/>
  <c r="R167" i="2"/>
  <c r="BJ167" i="2"/>
  <c r="AH167" i="2"/>
  <c r="AE167" i="2"/>
  <c r="AD167" i="2"/>
  <c r="AW167" i="2" s="1"/>
  <c r="A167" i="3" s="1"/>
  <c r="AF167" i="2"/>
  <c r="AG167" i="2"/>
  <c r="S167" i="2"/>
  <c r="BA166" i="2"/>
  <c r="E166" i="3" s="1"/>
  <c r="AZ166" i="2"/>
  <c r="D166" i="3" s="1"/>
  <c r="AY166" i="2"/>
  <c r="C166" i="3" s="1"/>
  <c r="AX166" i="2"/>
  <c r="B166" i="3" s="1"/>
  <c r="C167" i="2"/>
  <c r="A168" i="2"/>
  <c r="D167" i="2"/>
  <c r="E167" i="2"/>
  <c r="F167" i="2"/>
  <c r="G167" i="2"/>
  <c r="H167" i="2"/>
  <c r="I167" i="2"/>
  <c r="J167" i="2"/>
  <c r="B167" i="2"/>
  <c r="BJ168" i="2" l="1"/>
  <c r="AH168" i="2"/>
  <c r="AG168" i="2"/>
  <c r="AD168" i="2"/>
  <c r="AW168" i="2" s="1"/>
  <c r="A168" i="3" s="1"/>
  <c r="S168" i="2"/>
  <c r="AE168" i="2"/>
  <c r="R168" i="2"/>
  <c r="BK168" i="2"/>
  <c r="AF168" i="2"/>
  <c r="AZ167" i="2"/>
  <c r="D167" i="3" s="1"/>
  <c r="AY167" i="2"/>
  <c r="C167" i="3" s="1"/>
  <c r="AX167" i="2"/>
  <c r="B167" i="3" s="1"/>
  <c r="BA167" i="2"/>
  <c r="E167" i="3" s="1"/>
  <c r="I168" i="2"/>
  <c r="C168" i="2"/>
  <c r="D168" i="2"/>
  <c r="E168" i="2"/>
  <c r="F168" i="2"/>
  <c r="G168" i="2"/>
  <c r="H168" i="2"/>
  <c r="J168" i="2"/>
  <c r="B168" i="2"/>
  <c r="A169" i="2"/>
  <c r="AH169" i="2" l="1"/>
  <c r="AG169" i="2"/>
  <c r="AF169" i="2"/>
  <c r="S169" i="2"/>
  <c r="BK169" i="2"/>
  <c r="R169" i="2"/>
  <c r="BJ169" i="2"/>
  <c r="AD169" i="2"/>
  <c r="AW169" i="2" s="1"/>
  <c r="A169" i="3" s="1"/>
  <c r="AE169" i="2"/>
  <c r="BA168" i="2"/>
  <c r="E168" i="3" s="1"/>
  <c r="AZ168" i="2"/>
  <c r="D168" i="3" s="1"/>
  <c r="AY168" i="2"/>
  <c r="C168" i="3" s="1"/>
  <c r="AX168" i="2"/>
  <c r="B168" i="3" s="1"/>
  <c r="G169" i="2"/>
  <c r="B169" i="2"/>
  <c r="A170" i="2"/>
  <c r="C169" i="2"/>
  <c r="D169" i="2"/>
  <c r="E169" i="2"/>
  <c r="F169" i="2"/>
  <c r="H169" i="2"/>
  <c r="I169" i="2"/>
  <c r="J169" i="2"/>
  <c r="AG170" i="2" l="1"/>
  <c r="AF170" i="2"/>
  <c r="AE170" i="2"/>
  <c r="BK170" i="2"/>
  <c r="R170" i="2"/>
  <c r="BJ170" i="2"/>
  <c r="AH170" i="2"/>
  <c r="AD170" i="2"/>
  <c r="AW170" i="2" s="1"/>
  <c r="A170" i="3" s="1"/>
  <c r="S170" i="2"/>
  <c r="BA169" i="2"/>
  <c r="E169" i="3" s="1"/>
  <c r="AZ169" i="2"/>
  <c r="D169" i="3" s="1"/>
  <c r="AY169" i="2"/>
  <c r="C169" i="3" s="1"/>
  <c r="AX169" i="2"/>
  <c r="B169" i="3" s="1"/>
  <c r="I170" i="2"/>
  <c r="B170" i="2"/>
  <c r="J170" i="2"/>
  <c r="C170" i="2"/>
  <c r="A171" i="2"/>
  <c r="D170" i="2"/>
  <c r="E170" i="2"/>
  <c r="F170" i="2"/>
  <c r="G170" i="2"/>
  <c r="H170" i="2"/>
  <c r="AF171" i="2" l="1"/>
  <c r="AE171" i="2"/>
  <c r="AD171" i="2"/>
  <c r="AW171" i="2" s="1"/>
  <c r="A171" i="3" s="1"/>
  <c r="BJ171" i="2"/>
  <c r="AH171" i="2"/>
  <c r="AG171" i="2"/>
  <c r="R171" i="2"/>
  <c r="S171" i="2"/>
  <c r="BK171" i="2"/>
  <c r="AZ170" i="2"/>
  <c r="D170" i="3" s="1"/>
  <c r="AY170" i="2"/>
  <c r="C170" i="3" s="1"/>
  <c r="AX170" i="2"/>
  <c r="B170" i="3" s="1"/>
  <c r="BA170" i="2"/>
  <c r="E170" i="3" s="1"/>
  <c r="G171" i="2"/>
  <c r="H171" i="2"/>
  <c r="I171" i="2"/>
  <c r="B171" i="2"/>
  <c r="J171" i="2"/>
  <c r="C171" i="2"/>
  <c r="A172" i="2"/>
  <c r="D171" i="2"/>
  <c r="E171" i="2"/>
  <c r="F171" i="2"/>
  <c r="AE172" i="2" l="1"/>
  <c r="AD172" i="2"/>
  <c r="AW172" i="2" s="1"/>
  <c r="A172" i="3" s="1"/>
  <c r="S172" i="2"/>
  <c r="AH172" i="2"/>
  <c r="AG172" i="2"/>
  <c r="BK172" i="2"/>
  <c r="BJ172" i="2"/>
  <c r="R172" i="2"/>
  <c r="AF172" i="2"/>
  <c r="BA171" i="2"/>
  <c r="E171" i="3" s="1"/>
  <c r="AZ171" i="2"/>
  <c r="D171" i="3" s="1"/>
  <c r="AY171" i="2"/>
  <c r="C171" i="3" s="1"/>
  <c r="AX171" i="2"/>
  <c r="B171" i="3" s="1"/>
  <c r="E172" i="2"/>
  <c r="F172" i="2"/>
  <c r="G172" i="2"/>
  <c r="H172" i="2"/>
  <c r="I172" i="2"/>
  <c r="B172" i="2"/>
  <c r="J172" i="2"/>
  <c r="C172" i="2"/>
  <c r="A173" i="2"/>
  <c r="D172" i="2"/>
  <c r="AD173" i="2" l="1"/>
  <c r="AW173" i="2" s="1"/>
  <c r="A173" i="3" s="1"/>
  <c r="S173" i="2"/>
  <c r="BK173" i="2"/>
  <c r="R173" i="2"/>
  <c r="AG173" i="2"/>
  <c r="AF173" i="2"/>
  <c r="BJ173" i="2"/>
  <c r="AH173" i="2"/>
  <c r="AE173" i="2"/>
  <c r="AX172" i="2"/>
  <c r="B172" i="3" s="1"/>
  <c r="BA172" i="2"/>
  <c r="E172" i="3" s="1"/>
  <c r="AZ172" i="2"/>
  <c r="D172" i="3" s="1"/>
  <c r="AY172" i="2"/>
  <c r="C172" i="3" s="1"/>
  <c r="C173" i="2"/>
  <c r="A174" i="2"/>
  <c r="D173" i="2"/>
  <c r="E173" i="2"/>
  <c r="F173" i="2"/>
  <c r="G173" i="2"/>
  <c r="H173" i="2"/>
  <c r="I173" i="2"/>
  <c r="B173" i="2"/>
  <c r="J173" i="2"/>
  <c r="BJ174" i="2" l="1"/>
  <c r="AH174" i="2"/>
  <c r="S174" i="2"/>
  <c r="R174" i="2"/>
  <c r="AF174" i="2"/>
  <c r="AE174" i="2"/>
  <c r="BK174" i="2"/>
  <c r="AG174" i="2"/>
  <c r="AD174" i="2"/>
  <c r="AW174" i="2" s="1"/>
  <c r="A174" i="3" s="1"/>
  <c r="AZ173" i="2"/>
  <c r="D173" i="3" s="1"/>
  <c r="AY173" i="2"/>
  <c r="C173" i="3" s="1"/>
  <c r="AX173" i="2"/>
  <c r="B173" i="3" s="1"/>
  <c r="BA173" i="2"/>
  <c r="E173" i="3" s="1"/>
  <c r="I174" i="2"/>
  <c r="B174" i="2"/>
  <c r="J174" i="2"/>
  <c r="C174" i="2"/>
  <c r="A175" i="2"/>
  <c r="D174" i="2"/>
  <c r="E174" i="2"/>
  <c r="F174" i="2"/>
  <c r="G174" i="2"/>
  <c r="H174" i="2"/>
  <c r="AE175" i="2" l="1"/>
  <c r="AD175" i="2"/>
  <c r="AW175" i="2" s="1"/>
  <c r="A175" i="3" s="1"/>
  <c r="S175" i="2"/>
  <c r="AH175" i="2"/>
  <c r="AG175" i="2"/>
  <c r="BJ175" i="2"/>
  <c r="AF175" i="2"/>
  <c r="R175" i="2"/>
  <c r="BK175" i="2"/>
  <c r="BA174" i="2"/>
  <c r="E174" i="3" s="1"/>
  <c r="AZ174" i="2"/>
  <c r="D174" i="3" s="1"/>
  <c r="AY174" i="2"/>
  <c r="C174" i="3" s="1"/>
  <c r="AX174" i="2"/>
  <c r="B174" i="3" s="1"/>
  <c r="G175" i="2"/>
  <c r="H175" i="2"/>
  <c r="I175" i="2"/>
  <c r="B175" i="2"/>
  <c r="J175" i="2"/>
  <c r="C175" i="2"/>
  <c r="A176" i="2"/>
  <c r="D175" i="2"/>
  <c r="E175" i="2"/>
  <c r="F175" i="2"/>
  <c r="AD176" i="2" l="1"/>
  <c r="AW176" i="2" s="1"/>
  <c r="A176" i="3" s="1"/>
  <c r="S176" i="2"/>
  <c r="BK176" i="2"/>
  <c r="R176" i="2"/>
  <c r="AG176" i="2"/>
  <c r="AF176" i="2"/>
  <c r="AH176" i="2"/>
  <c r="AE176" i="2"/>
  <c r="BJ176" i="2"/>
  <c r="AX175" i="2"/>
  <c r="B175" i="3" s="1"/>
  <c r="BA175" i="2"/>
  <c r="E175" i="3" s="1"/>
  <c r="AZ175" i="2"/>
  <c r="D175" i="3" s="1"/>
  <c r="AY175" i="2"/>
  <c r="C175" i="3" s="1"/>
  <c r="E176" i="2"/>
  <c r="F176" i="2"/>
  <c r="G176" i="2"/>
  <c r="H176" i="2"/>
  <c r="I176" i="2"/>
  <c r="B176" i="2"/>
  <c r="J176" i="2"/>
  <c r="C176" i="2"/>
  <c r="A177" i="2"/>
  <c r="D176" i="2"/>
  <c r="S177" i="2" l="1"/>
  <c r="BK177" i="2"/>
  <c r="R177" i="2"/>
  <c r="BJ177" i="2"/>
  <c r="AF177" i="2"/>
  <c r="AE177" i="2"/>
  <c r="AH177" i="2"/>
  <c r="AG177" i="2"/>
  <c r="AD177" i="2"/>
  <c r="AW177" i="2" s="1"/>
  <c r="A177" i="3" s="1"/>
  <c r="BA176" i="2"/>
  <c r="E176" i="3" s="1"/>
  <c r="AZ176" i="2"/>
  <c r="D176" i="3" s="1"/>
  <c r="AY176" i="2"/>
  <c r="C176" i="3" s="1"/>
  <c r="AX176" i="2"/>
  <c r="B176" i="3" s="1"/>
  <c r="C177" i="2"/>
  <c r="A178" i="2"/>
  <c r="D177" i="2"/>
  <c r="E177" i="2"/>
  <c r="F177" i="2"/>
  <c r="G177" i="2"/>
  <c r="H177" i="2"/>
  <c r="I177" i="2"/>
  <c r="B177" i="2"/>
  <c r="J177" i="2"/>
  <c r="BK178" i="2" l="1"/>
  <c r="R178" i="2"/>
  <c r="BJ178" i="2"/>
  <c r="AH178" i="2"/>
  <c r="AE178" i="2"/>
  <c r="AD178" i="2"/>
  <c r="AW178" i="2" s="1"/>
  <c r="A178" i="3" s="1"/>
  <c r="S178" i="2"/>
  <c r="AG178" i="2"/>
  <c r="AF178" i="2"/>
  <c r="BA177" i="2"/>
  <c r="E177" i="3" s="1"/>
  <c r="AZ177" i="2"/>
  <c r="D177" i="3" s="1"/>
  <c r="AY177" i="2"/>
  <c r="C177" i="3" s="1"/>
  <c r="AX177" i="2"/>
  <c r="B177" i="3" s="1"/>
  <c r="I178" i="2"/>
  <c r="B178" i="2"/>
  <c r="J178" i="2"/>
  <c r="C178" i="2"/>
  <c r="A179" i="2"/>
  <c r="D178" i="2"/>
  <c r="E178" i="2"/>
  <c r="F178" i="2"/>
  <c r="G178" i="2"/>
  <c r="H178" i="2"/>
  <c r="BJ179" i="2" l="1"/>
  <c r="AH179" i="2"/>
  <c r="AG179" i="2"/>
  <c r="AD179" i="2"/>
  <c r="AW179" i="2" s="1"/>
  <c r="A179" i="3" s="1"/>
  <c r="S179" i="2"/>
  <c r="BK179" i="2"/>
  <c r="R179" i="2"/>
  <c r="AE179" i="2"/>
  <c r="AF179" i="2"/>
  <c r="AX178" i="2"/>
  <c r="B178" i="3" s="1"/>
  <c r="BA178" i="2"/>
  <c r="E178" i="3" s="1"/>
  <c r="AZ178" i="2"/>
  <c r="D178" i="3" s="1"/>
  <c r="AY178" i="2"/>
  <c r="C178" i="3" s="1"/>
  <c r="G179" i="2"/>
  <c r="H179" i="2"/>
  <c r="I179" i="2"/>
  <c r="B179" i="2"/>
  <c r="J179" i="2"/>
  <c r="C179" i="2"/>
  <c r="A180" i="2"/>
  <c r="D179" i="2"/>
  <c r="E179" i="2"/>
  <c r="F179" i="2"/>
  <c r="AH180" i="2" l="1"/>
  <c r="AG180" i="2"/>
  <c r="AF180" i="2"/>
  <c r="S180" i="2"/>
  <c r="BK180" i="2"/>
  <c r="R180" i="2"/>
  <c r="AE180" i="2"/>
  <c r="AD180" i="2"/>
  <c r="AW180" i="2" s="1"/>
  <c r="A180" i="3" s="1"/>
  <c r="BJ180" i="2"/>
  <c r="BA179" i="2"/>
  <c r="E179" i="3" s="1"/>
  <c r="AZ179" i="2"/>
  <c r="D179" i="3" s="1"/>
  <c r="AY179" i="2"/>
  <c r="C179" i="3" s="1"/>
  <c r="AX179" i="2"/>
  <c r="B179" i="3" s="1"/>
  <c r="E180" i="2"/>
  <c r="F180" i="2"/>
  <c r="G180" i="2"/>
  <c r="H180" i="2"/>
  <c r="I180" i="2"/>
  <c r="B180" i="2"/>
  <c r="J180" i="2"/>
  <c r="C180" i="2"/>
  <c r="A181" i="2"/>
  <c r="D180" i="2"/>
  <c r="AG181" i="2" l="1"/>
  <c r="AF181" i="2"/>
  <c r="AE181" i="2"/>
  <c r="BK181" i="2"/>
  <c r="R181" i="2"/>
  <c r="BJ181" i="2"/>
  <c r="AD181" i="2"/>
  <c r="AW181" i="2" s="1"/>
  <c r="A181" i="3" s="1"/>
  <c r="S181" i="2"/>
  <c r="AH181" i="2"/>
  <c r="BA180" i="2"/>
  <c r="E180" i="3" s="1"/>
  <c r="AZ180" i="2"/>
  <c r="D180" i="3" s="1"/>
  <c r="AY180" i="2"/>
  <c r="C180" i="3" s="1"/>
  <c r="AX180" i="2"/>
  <c r="B180" i="3" s="1"/>
  <c r="C181" i="2"/>
  <c r="A182" i="2"/>
  <c r="D181" i="2"/>
  <c r="E181" i="2"/>
  <c r="F181" i="2"/>
  <c r="G181" i="2"/>
  <c r="H181" i="2"/>
  <c r="I181" i="2"/>
  <c r="B181" i="2"/>
  <c r="J181" i="2"/>
  <c r="AF182" i="2" l="1"/>
  <c r="AE182" i="2"/>
  <c r="AD182" i="2"/>
  <c r="AW182" i="2" s="1"/>
  <c r="A182" i="3" s="1"/>
  <c r="BJ182" i="2"/>
  <c r="AH182" i="2"/>
  <c r="BK182" i="2"/>
  <c r="AG182" i="2"/>
  <c r="S182" i="2"/>
  <c r="R182" i="2"/>
  <c r="AX181" i="2"/>
  <c r="B181" i="3" s="1"/>
  <c r="BA181" i="2"/>
  <c r="E181" i="3" s="1"/>
  <c r="AZ181" i="2"/>
  <c r="D181" i="3" s="1"/>
  <c r="AY181" i="2"/>
  <c r="C181" i="3" s="1"/>
  <c r="I182" i="2"/>
  <c r="B182" i="2"/>
  <c r="J182" i="2"/>
  <c r="C182" i="2"/>
  <c r="A183" i="2"/>
  <c r="D182" i="2"/>
  <c r="E182" i="2"/>
  <c r="F182" i="2"/>
  <c r="G182" i="2"/>
  <c r="H182" i="2"/>
  <c r="AE183" i="2" l="1"/>
  <c r="AD183" i="2"/>
  <c r="AW183" i="2" s="1"/>
  <c r="A183" i="3" s="1"/>
  <c r="S183" i="2"/>
  <c r="AH183" i="2"/>
  <c r="AG183" i="2"/>
  <c r="BJ183" i="2"/>
  <c r="AF183" i="2"/>
  <c r="R183" i="2"/>
  <c r="BK183" i="2"/>
  <c r="BA182" i="2"/>
  <c r="E182" i="3" s="1"/>
  <c r="AZ182" i="2"/>
  <c r="D182" i="3" s="1"/>
  <c r="AY182" i="2"/>
  <c r="C182" i="3" s="1"/>
  <c r="AX182" i="2"/>
  <c r="B182" i="3" s="1"/>
  <c r="G183" i="2"/>
  <c r="H183" i="2"/>
  <c r="I183" i="2"/>
  <c r="B183" i="2"/>
  <c r="J183" i="2"/>
  <c r="C183" i="2"/>
  <c r="A184" i="2"/>
  <c r="D183" i="2"/>
  <c r="E183" i="2"/>
  <c r="F183" i="2"/>
  <c r="AD184" i="2" l="1"/>
  <c r="AW184" i="2" s="1"/>
  <c r="A184" i="3" s="1"/>
  <c r="S184" i="2"/>
  <c r="BK184" i="2"/>
  <c r="R184" i="2"/>
  <c r="BJ184" i="2"/>
  <c r="AG184" i="2"/>
  <c r="AF184" i="2"/>
  <c r="AH184" i="2"/>
  <c r="AE184" i="2"/>
  <c r="BA183" i="2"/>
  <c r="E183" i="3" s="1"/>
  <c r="AZ183" i="2"/>
  <c r="D183" i="3" s="1"/>
  <c r="AY183" i="2"/>
  <c r="C183" i="3" s="1"/>
  <c r="AX183" i="2"/>
  <c r="B183" i="3" s="1"/>
  <c r="E184" i="2"/>
  <c r="F184" i="2"/>
  <c r="G184" i="2"/>
  <c r="H184" i="2"/>
  <c r="I184" i="2"/>
  <c r="B184" i="2"/>
  <c r="J184" i="2"/>
  <c r="C184" i="2"/>
  <c r="A185" i="2"/>
  <c r="D184" i="2"/>
  <c r="S185" i="2" l="1"/>
  <c r="BK185" i="2"/>
  <c r="R185" i="2"/>
  <c r="BJ185" i="2"/>
  <c r="AH185" i="2"/>
  <c r="AF185" i="2"/>
  <c r="AE185" i="2"/>
  <c r="AG185" i="2"/>
  <c r="AD185" i="2"/>
  <c r="AW185" i="2" s="1"/>
  <c r="A185" i="3" s="1"/>
  <c r="AY184" i="2"/>
  <c r="C184" i="3" s="1"/>
  <c r="AX184" i="2"/>
  <c r="B184" i="3" s="1"/>
  <c r="BA184" i="2"/>
  <c r="E184" i="3" s="1"/>
  <c r="AZ184" i="2"/>
  <c r="D184" i="3" s="1"/>
  <c r="C185" i="2"/>
  <c r="A186" i="2"/>
  <c r="D185" i="2"/>
  <c r="E185" i="2"/>
  <c r="F185" i="2"/>
  <c r="G185" i="2"/>
  <c r="H185" i="2"/>
  <c r="I185" i="2"/>
  <c r="B185" i="2"/>
  <c r="J185" i="2"/>
  <c r="BK186" i="2" l="1"/>
  <c r="R186" i="2"/>
  <c r="BJ186" i="2"/>
  <c r="AH186" i="2"/>
  <c r="AG186" i="2"/>
  <c r="AE186" i="2"/>
  <c r="AD186" i="2"/>
  <c r="AW186" i="2" s="1"/>
  <c r="A186" i="3" s="1"/>
  <c r="AF186" i="2"/>
  <c r="S186" i="2"/>
  <c r="BA185" i="2"/>
  <c r="E185" i="3" s="1"/>
  <c r="AZ185" i="2"/>
  <c r="D185" i="3" s="1"/>
  <c r="AY185" i="2"/>
  <c r="C185" i="3" s="1"/>
  <c r="AX185" i="2"/>
  <c r="B185" i="3" s="1"/>
  <c r="I186" i="2"/>
  <c r="B186" i="2"/>
  <c r="J186" i="2"/>
  <c r="C186" i="2"/>
  <c r="A187" i="2"/>
  <c r="D186" i="2"/>
  <c r="E186" i="2"/>
  <c r="F186" i="2"/>
  <c r="G186" i="2"/>
  <c r="H186" i="2"/>
  <c r="BJ187" i="2" l="1"/>
  <c r="AH187" i="2"/>
  <c r="AG187" i="2"/>
  <c r="AF187" i="2"/>
  <c r="AD187" i="2"/>
  <c r="AW187" i="2" s="1"/>
  <c r="A187" i="3" s="1"/>
  <c r="S187" i="2"/>
  <c r="R187" i="2"/>
  <c r="BK187" i="2"/>
  <c r="AE187" i="2"/>
  <c r="BA186" i="2"/>
  <c r="E186" i="3" s="1"/>
  <c r="AZ186" i="2"/>
  <c r="D186" i="3" s="1"/>
  <c r="AY186" i="2"/>
  <c r="C186" i="3" s="1"/>
  <c r="AX186" i="2"/>
  <c r="B186" i="3" s="1"/>
  <c r="G187" i="2"/>
  <c r="H187" i="2"/>
  <c r="I187" i="2"/>
  <c r="B187" i="2"/>
  <c r="J187" i="2"/>
  <c r="C187" i="2"/>
  <c r="A188" i="2"/>
  <c r="D187" i="2"/>
  <c r="E187" i="2"/>
  <c r="F187" i="2"/>
  <c r="AH188" i="2" l="1"/>
  <c r="AG188" i="2"/>
  <c r="AF188" i="2"/>
  <c r="AE188" i="2"/>
  <c r="S188" i="2"/>
  <c r="BK188" i="2"/>
  <c r="R188" i="2"/>
  <c r="BJ188" i="2"/>
  <c r="AD188" i="2"/>
  <c r="AW188" i="2" s="1"/>
  <c r="A188" i="3" s="1"/>
  <c r="AY187" i="2"/>
  <c r="C187" i="3" s="1"/>
  <c r="AX187" i="2"/>
  <c r="B187" i="3" s="1"/>
  <c r="BA187" i="2"/>
  <c r="E187" i="3" s="1"/>
  <c r="AZ187" i="2"/>
  <c r="D187" i="3" s="1"/>
  <c r="E188" i="2"/>
  <c r="F188" i="2"/>
  <c r="G188" i="2"/>
  <c r="H188" i="2"/>
  <c r="I188" i="2"/>
  <c r="B188" i="2"/>
  <c r="J188" i="2"/>
  <c r="C188" i="2"/>
  <c r="A189" i="2"/>
  <c r="D188" i="2"/>
  <c r="AG189" i="2" l="1"/>
  <c r="AF189" i="2"/>
  <c r="AE189" i="2"/>
  <c r="AD189" i="2"/>
  <c r="AW189" i="2" s="1"/>
  <c r="A189" i="3" s="1"/>
  <c r="BK189" i="2"/>
  <c r="R189" i="2"/>
  <c r="BJ189" i="2"/>
  <c r="S189" i="2"/>
  <c r="AH189" i="2"/>
  <c r="BA188" i="2"/>
  <c r="E188" i="3" s="1"/>
  <c r="AZ188" i="2"/>
  <c r="D188" i="3" s="1"/>
  <c r="AY188" i="2"/>
  <c r="C188" i="3" s="1"/>
  <c r="AX188" i="2"/>
  <c r="B188" i="3" s="1"/>
  <c r="C189" i="2"/>
  <c r="A190" i="2"/>
  <c r="D189" i="2"/>
  <c r="E189" i="2"/>
  <c r="F189" i="2"/>
  <c r="G189" i="2"/>
  <c r="H189" i="2"/>
  <c r="I189" i="2"/>
  <c r="B189" i="2"/>
  <c r="J189" i="2"/>
  <c r="AF190" i="2" l="1"/>
  <c r="AE190" i="2"/>
  <c r="AD190" i="2"/>
  <c r="AW190" i="2" s="1"/>
  <c r="A190" i="3" s="1"/>
  <c r="S190" i="2"/>
  <c r="BJ190" i="2"/>
  <c r="AH190" i="2"/>
  <c r="AG190" i="2"/>
  <c r="R190" i="2"/>
  <c r="BK190" i="2"/>
  <c r="BA189" i="2"/>
  <c r="E189" i="3" s="1"/>
  <c r="AZ189" i="2"/>
  <c r="D189" i="3" s="1"/>
  <c r="AY189" i="2"/>
  <c r="C189" i="3" s="1"/>
  <c r="AX189" i="2"/>
  <c r="B189" i="3" s="1"/>
  <c r="I190" i="2"/>
  <c r="B190" i="2"/>
  <c r="J190" i="2"/>
  <c r="C190" i="2"/>
  <c r="A191" i="2"/>
  <c r="D190" i="2"/>
  <c r="E190" i="2"/>
  <c r="F190" i="2"/>
  <c r="G190" i="2"/>
  <c r="H190" i="2"/>
  <c r="AE191" i="2" l="1"/>
  <c r="AD191" i="2"/>
  <c r="AW191" i="2" s="1"/>
  <c r="A191" i="3" s="1"/>
  <c r="S191" i="2"/>
  <c r="BK191" i="2"/>
  <c r="R191" i="2"/>
  <c r="AH191" i="2"/>
  <c r="AG191" i="2"/>
  <c r="BJ191" i="2"/>
  <c r="AF191" i="2"/>
  <c r="AY190" i="2"/>
  <c r="C190" i="3" s="1"/>
  <c r="AX190" i="2"/>
  <c r="B190" i="3" s="1"/>
  <c r="BA190" i="2"/>
  <c r="E190" i="3" s="1"/>
  <c r="AZ190" i="2"/>
  <c r="D190" i="3" s="1"/>
  <c r="G191" i="2"/>
  <c r="H191" i="2"/>
  <c r="I191" i="2"/>
  <c r="B191" i="2"/>
  <c r="J191" i="2"/>
  <c r="C191" i="2"/>
  <c r="A192" i="2"/>
  <c r="D191" i="2"/>
  <c r="E191" i="2"/>
  <c r="F191" i="2"/>
  <c r="AD192" i="2" l="1"/>
  <c r="AW192" i="2" s="1"/>
  <c r="A192" i="3" s="1"/>
  <c r="S192" i="2"/>
  <c r="BK192" i="2"/>
  <c r="R192" i="2"/>
  <c r="BJ192" i="2"/>
  <c r="AG192" i="2"/>
  <c r="AF192" i="2"/>
  <c r="AH192" i="2"/>
  <c r="AE192" i="2"/>
  <c r="BA191" i="2"/>
  <c r="E191" i="3" s="1"/>
  <c r="AZ191" i="2"/>
  <c r="D191" i="3" s="1"/>
  <c r="AY191" i="2"/>
  <c r="C191" i="3" s="1"/>
  <c r="AX191" i="2"/>
  <c r="B191" i="3" s="1"/>
  <c r="E192" i="2"/>
  <c r="F192" i="2"/>
  <c r="G192" i="2"/>
  <c r="H192" i="2"/>
  <c r="I192" i="2"/>
  <c r="B192" i="2"/>
  <c r="J192" i="2"/>
  <c r="C192" i="2"/>
  <c r="A193" i="2"/>
  <c r="D192" i="2"/>
  <c r="S193" i="2" l="1"/>
  <c r="BK193" i="2"/>
  <c r="R193" i="2"/>
  <c r="BJ193" i="2"/>
  <c r="AH193" i="2"/>
  <c r="AF193" i="2"/>
  <c r="AE193" i="2"/>
  <c r="AG193" i="2"/>
  <c r="AD193" i="2"/>
  <c r="AW193" i="2" s="1"/>
  <c r="A193" i="3" s="1"/>
  <c r="BA192" i="2"/>
  <c r="E192" i="3" s="1"/>
  <c r="AZ192" i="2"/>
  <c r="D192" i="3" s="1"/>
  <c r="AY192" i="2"/>
  <c r="C192" i="3" s="1"/>
  <c r="AX192" i="2"/>
  <c r="B192" i="3" s="1"/>
  <c r="C193" i="2"/>
  <c r="A194" i="2"/>
  <c r="D193" i="2"/>
  <c r="E193" i="2"/>
  <c r="F193" i="2"/>
  <c r="G193" i="2"/>
  <c r="H193" i="2"/>
  <c r="I193" i="2"/>
  <c r="B193" i="2"/>
  <c r="J193" i="2"/>
  <c r="BK194" i="2" l="1"/>
  <c r="R194" i="2"/>
  <c r="BJ194" i="2"/>
  <c r="AH194" i="2"/>
  <c r="AG194" i="2"/>
  <c r="AE194" i="2"/>
  <c r="AD194" i="2"/>
  <c r="AW194" i="2" s="1"/>
  <c r="A194" i="3" s="1"/>
  <c r="S194" i="2"/>
  <c r="AF194" i="2"/>
  <c r="AY193" i="2"/>
  <c r="C193" i="3" s="1"/>
  <c r="AX193" i="2"/>
  <c r="B193" i="3" s="1"/>
  <c r="BA193" i="2"/>
  <c r="E193" i="3" s="1"/>
  <c r="AZ193" i="2"/>
  <c r="D193" i="3" s="1"/>
  <c r="I194" i="2"/>
  <c r="B194" i="2"/>
  <c r="J194" i="2"/>
  <c r="C194" i="2"/>
  <c r="A195" i="2"/>
  <c r="D194" i="2"/>
  <c r="E194" i="2"/>
  <c r="F194" i="2"/>
  <c r="G194" i="2"/>
  <c r="H194" i="2"/>
  <c r="BJ195" i="2" l="1"/>
  <c r="AH195" i="2"/>
  <c r="AG195" i="2"/>
  <c r="AF195" i="2"/>
  <c r="AD195" i="2"/>
  <c r="AW195" i="2" s="1"/>
  <c r="A195" i="3" s="1"/>
  <c r="S195" i="2"/>
  <c r="BK195" i="2"/>
  <c r="AE195" i="2"/>
  <c r="R195" i="2"/>
  <c r="BA194" i="2"/>
  <c r="E194" i="3" s="1"/>
  <c r="AZ194" i="2"/>
  <c r="D194" i="3" s="1"/>
  <c r="AY194" i="2"/>
  <c r="C194" i="3" s="1"/>
  <c r="AX194" i="2"/>
  <c r="B194" i="3" s="1"/>
  <c r="G195" i="2"/>
  <c r="H195" i="2"/>
  <c r="I195" i="2"/>
  <c r="B195" i="2"/>
  <c r="J195" i="2"/>
  <c r="C195" i="2"/>
  <c r="A196" i="2"/>
  <c r="D195" i="2"/>
  <c r="E195" i="2"/>
  <c r="F195" i="2"/>
  <c r="AH196" i="2" l="1"/>
  <c r="AG196" i="2"/>
  <c r="AF196" i="2"/>
  <c r="AE196" i="2"/>
  <c r="S196" i="2"/>
  <c r="BK196" i="2"/>
  <c r="R196" i="2"/>
  <c r="AD196" i="2"/>
  <c r="AW196" i="2" s="1"/>
  <c r="A196" i="3" s="1"/>
  <c r="BJ196" i="2"/>
  <c r="BA195" i="2"/>
  <c r="E195" i="3" s="1"/>
  <c r="AZ195" i="2"/>
  <c r="D195" i="3" s="1"/>
  <c r="AY195" i="2"/>
  <c r="C195" i="3" s="1"/>
  <c r="AX195" i="2"/>
  <c r="B195" i="3" s="1"/>
  <c r="E196" i="2"/>
  <c r="F196" i="2"/>
  <c r="G196" i="2"/>
  <c r="H196" i="2"/>
  <c r="I196" i="2"/>
  <c r="B196" i="2"/>
  <c r="J196" i="2"/>
  <c r="C196" i="2"/>
  <c r="A197" i="2"/>
  <c r="D196" i="2"/>
  <c r="AG197" i="2" l="1"/>
  <c r="AF197" i="2"/>
  <c r="AE197" i="2"/>
  <c r="AD197" i="2"/>
  <c r="AW197" i="2" s="1"/>
  <c r="A197" i="3" s="1"/>
  <c r="BK197" i="2"/>
  <c r="R197" i="2"/>
  <c r="BJ197" i="2"/>
  <c r="AH197" i="2"/>
  <c r="S197" i="2"/>
  <c r="AZ196" i="2"/>
  <c r="D196" i="3" s="1"/>
  <c r="AY196" i="2"/>
  <c r="C196" i="3" s="1"/>
  <c r="AX196" i="2"/>
  <c r="B196" i="3" s="1"/>
  <c r="BA196" i="2"/>
  <c r="E196" i="3" s="1"/>
  <c r="C197" i="2"/>
  <c r="A198" i="2"/>
  <c r="D197" i="2"/>
  <c r="E197" i="2"/>
  <c r="F197" i="2"/>
  <c r="G197" i="2"/>
  <c r="H197" i="2"/>
  <c r="I197" i="2"/>
  <c r="B197" i="2"/>
  <c r="J197" i="2"/>
  <c r="AF198" i="2" l="1"/>
  <c r="AE198" i="2"/>
  <c r="AD198" i="2"/>
  <c r="AW198" i="2" s="1"/>
  <c r="A198" i="3" s="1"/>
  <c r="S198" i="2"/>
  <c r="BJ198" i="2"/>
  <c r="AH198" i="2"/>
  <c r="BK198" i="2"/>
  <c r="R198" i="2"/>
  <c r="AG198" i="2"/>
  <c r="BA197" i="2"/>
  <c r="E197" i="3" s="1"/>
  <c r="AZ197" i="2"/>
  <c r="D197" i="3" s="1"/>
  <c r="AY197" i="2"/>
  <c r="C197" i="3" s="1"/>
  <c r="AX197" i="2"/>
  <c r="B197" i="3" s="1"/>
  <c r="I198" i="2"/>
  <c r="B198" i="2"/>
  <c r="J198" i="2"/>
  <c r="C198" i="2"/>
  <c r="A199" i="2"/>
  <c r="D198" i="2"/>
  <c r="E198" i="2"/>
  <c r="F198" i="2"/>
  <c r="G198" i="2"/>
  <c r="H198" i="2"/>
  <c r="AE199" i="2" l="1"/>
  <c r="AD199" i="2"/>
  <c r="AW199" i="2" s="1"/>
  <c r="A199" i="3" s="1"/>
  <c r="S199" i="2"/>
  <c r="BK199" i="2"/>
  <c r="R199" i="2"/>
  <c r="AH199" i="2"/>
  <c r="AG199" i="2"/>
  <c r="BJ199" i="2"/>
  <c r="AF199" i="2"/>
  <c r="BA198" i="2"/>
  <c r="E198" i="3" s="1"/>
  <c r="AZ198" i="2"/>
  <c r="D198" i="3" s="1"/>
  <c r="AY198" i="2"/>
  <c r="C198" i="3" s="1"/>
  <c r="AX198" i="2"/>
  <c r="B198" i="3" s="1"/>
  <c r="G199" i="2"/>
  <c r="H199" i="2"/>
  <c r="I199" i="2"/>
  <c r="B199" i="2"/>
  <c r="J199" i="2"/>
  <c r="C199" i="2"/>
  <c r="A200" i="2"/>
  <c r="D199" i="2"/>
  <c r="E199" i="2"/>
  <c r="F199" i="2"/>
  <c r="AD200" i="2" l="1"/>
  <c r="AW200" i="2" s="1"/>
  <c r="A200" i="3" s="1"/>
  <c r="S200" i="2"/>
  <c r="BK200" i="2"/>
  <c r="R200" i="2"/>
  <c r="BJ200" i="2"/>
  <c r="AG200" i="2"/>
  <c r="AF200" i="2"/>
  <c r="AH200" i="2"/>
  <c r="AE200" i="2"/>
  <c r="AZ199" i="2"/>
  <c r="D199" i="3" s="1"/>
  <c r="AY199" i="2"/>
  <c r="C199" i="3" s="1"/>
  <c r="AX199" i="2"/>
  <c r="B199" i="3" s="1"/>
  <c r="BA199" i="2"/>
  <c r="E199" i="3" s="1"/>
  <c r="E200" i="2"/>
  <c r="F200" i="2"/>
  <c r="G200" i="2"/>
  <c r="H200" i="2"/>
  <c r="I200" i="2"/>
  <c r="B200" i="2"/>
  <c r="J200" i="2"/>
  <c r="C200" i="2"/>
  <c r="A201" i="2"/>
  <c r="D200" i="2"/>
  <c r="S201" i="2" l="1"/>
  <c r="BK201" i="2"/>
  <c r="R201" i="2"/>
  <c r="BJ201" i="2"/>
  <c r="AH201" i="2"/>
  <c r="AF201" i="2"/>
  <c r="AE201" i="2"/>
  <c r="AD201" i="2"/>
  <c r="AW201" i="2" s="1"/>
  <c r="A201" i="3" s="1"/>
  <c r="AG201" i="2"/>
  <c r="BA200" i="2"/>
  <c r="E200" i="3" s="1"/>
  <c r="AZ200" i="2"/>
  <c r="D200" i="3" s="1"/>
  <c r="AY200" i="2"/>
  <c r="C200" i="3" s="1"/>
  <c r="AX200" i="2"/>
  <c r="B200" i="3" s="1"/>
  <c r="C201" i="2"/>
  <c r="A202" i="2"/>
  <c r="D201" i="2"/>
  <c r="E201" i="2"/>
  <c r="F201" i="2"/>
  <c r="G201" i="2"/>
  <c r="H201" i="2"/>
  <c r="I201" i="2"/>
  <c r="B201" i="2"/>
  <c r="J201" i="2"/>
  <c r="BK202" i="2" l="1"/>
  <c r="R202" i="2"/>
  <c r="BJ202" i="2"/>
  <c r="AH202" i="2"/>
  <c r="AG202" i="2"/>
  <c r="AE202" i="2"/>
  <c r="AD202" i="2"/>
  <c r="AW202" i="2" s="1"/>
  <c r="A202" i="3" s="1"/>
  <c r="AF202" i="2"/>
  <c r="S202" i="2"/>
  <c r="BA201" i="2"/>
  <c r="E201" i="3" s="1"/>
  <c r="AZ201" i="2"/>
  <c r="D201" i="3" s="1"/>
  <c r="AY201" i="2"/>
  <c r="C201" i="3" s="1"/>
  <c r="AX201" i="2"/>
  <c r="B201" i="3" s="1"/>
  <c r="I202" i="2"/>
  <c r="B202" i="2"/>
  <c r="J202" i="2"/>
  <c r="C202" i="2"/>
  <c r="A203" i="2"/>
  <c r="D202" i="2"/>
  <c r="E202" i="2"/>
  <c r="F202" i="2"/>
  <c r="G202" i="2"/>
  <c r="H202" i="2"/>
  <c r="BJ203" i="2" l="1"/>
  <c r="AH203" i="2"/>
  <c r="AG203" i="2"/>
  <c r="AF203" i="2"/>
  <c r="AD203" i="2"/>
  <c r="AW203" i="2" s="1"/>
  <c r="A203" i="3" s="1"/>
  <c r="S203" i="2"/>
  <c r="AE203" i="2"/>
  <c r="R203" i="2"/>
  <c r="BK203" i="2"/>
  <c r="AZ202" i="2"/>
  <c r="D202" i="3" s="1"/>
  <c r="AY202" i="2"/>
  <c r="C202" i="3" s="1"/>
  <c r="AX202" i="2"/>
  <c r="B202" i="3" s="1"/>
  <c r="BA202" i="2"/>
  <c r="E202" i="3" s="1"/>
  <c r="G203" i="2"/>
  <c r="H203" i="2"/>
  <c r="I203" i="2"/>
  <c r="B203" i="2"/>
  <c r="J203" i="2"/>
  <c r="C203" i="2"/>
  <c r="A204" i="2"/>
  <c r="D203" i="2"/>
  <c r="E203" i="2"/>
  <c r="F203" i="2"/>
  <c r="AH204" i="2" l="1"/>
  <c r="AG204" i="2"/>
  <c r="AF204" i="2"/>
  <c r="AE204" i="2"/>
  <c r="S204" i="2"/>
  <c r="BK204" i="2"/>
  <c r="R204" i="2"/>
  <c r="BJ204" i="2"/>
  <c r="AD204" i="2"/>
  <c r="AW204" i="2" s="1"/>
  <c r="A204" i="3" s="1"/>
  <c r="BA203" i="2"/>
  <c r="E203" i="3" s="1"/>
  <c r="AZ203" i="2"/>
  <c r="D203" i="3" s="1"/>
  <c r="AY203" i="2"/>
  <c r="C203" i="3" s="1"/>
  <c r="AX203" i="2"/>
  <c r="B203" i="3" s="1"/>
  <c r="E204" i="2"/>
  <c r="F204" i="2"/>
  <c r="G204" i="2"/>
  <c r="H204" i="2"/>
  <c r="I204" i="2"/>
  <c r="B204" i="2"/>
  <c r="J204" i="2"/>
  <c r="C204" i="2"/>
  <c r="A205" i="2"/>
  <c r="D204" i="2"/>
  <c r="AG205" i="2" l="1"/>
  <c r="AF205" i="2"/>
  <c r="AE205" i="2"/>
  <c r="AD205" i="2"/>
  <c r="AW205" i="2" s="1"/>
  <c r="A205" i="3" s="1"/>
  <c r="BK205" i="2"/>
  <c r="R205" i="2"/>
  <c r="BJ205" i="2"/>
  <c r="S205" i="2"/>
  <c r="AH205" i="2"/>
  <c r="AX204" i="2"/>
  <c r="B204" i="3" s="1"/>
  <c r="BA204" i="2"/>
  <c r="E204" i="3" s="1"/>
  <c r="AZ204" i="2"/>
  <c r="D204" i="3" s="1"/>
  <c r="AY204" i="2"/>
  <c r="C204" i="3" s="1"/>
  <c r="C205" i="2"/>
  <c r="A206" i="2"/>
  <c r="D205" i="2"/>
  <c r="E205" i="2"/>
  <c r="F205" i="2"/>
  <c r="G205" i="2"/>
  <c r="H205" i="2"/>
  <c r="I205" i="2"/>
  <c r="B205" i="2"/>
  <c r="J205" i="2"/>
  <c r="AF206" i="2" l="1"/>
  <c r="AE206" i="2"/>
  <c r="AD206" i="2"/>
  <c r="AW206" i="2" s="1"/>
  <c r="A206" i="3" s="1"/>
  <c r="S206" i="2"/>
  <c r="BJ206" i="2"/>
  <c r="AH206" i="2"/>
  <c r="BK206" i="2"/>
  <c r="AG206" i="2"/>
  <c r="R206" i="2"/>
  <c r="AZ205" i="2"/>
  <c r="D205" i="3" s="1"/>
  <c r="AY205" i="2"/>
  <c r="C205" i="3" s="1"/>
  <c r="AX205" i="2"/>
  <c r="B205" i="3" s="1"/>
  <c r="BA205" i="2"/>
  <c r="E205" i="3" s="1"/>
  <c r="I206" i="2"/>
  <c r="B206" i="2"/>
  <c r="J206" i="2"/>
  <c r="C206" i="2"/>
  <c r="A207" i="2"/>
  <c r="D206" i="2"/>
  <c r="E206" i="2"/>
  <c r="F206" i="2"/>
  <c r="G206" i="2"/>
  <c r="H206" i="2"/>
  <c r="AE207" i="2" l="1"/>
  <c r="AD207" i="2"/>
  <c r="AW207" i="2" s="1"/>
  <c r="A207" i="3" s="1"/>
  <c r="S207" i="2"/>
  <c r="BK207" i="2"/>
  <c r="R207" i="2"/>
  <c r="AH207" i="2"/>
  <c r="AG207" i="2"/>
  <c r="BJ207" i="2"/>
  <c r="AF207" i="2"/>
  <c r="BA206" i="2"/>
  <c r="E206" i="3" s="1"/>
  <c r="AZ206" i="2"/>
  <c r="D206" i="3" s="1"/>
  <c r="AY206" i="2"/>
  <c r="C206" i="3" s="1"/>
  <c r="AX206" i="2"/>
  <c r="B206" i="3" s="1"/>
  <c r="G207" i="2"/>
  <c r="H207" i="2"/>
  <c r="I207" i="2"/>
  <c r="B207" i="2"/>
  <c r="J207" i="2"/>
  <c r="C207" i="2"/>
  <c r="A208" i="2"/>
  <c r="D207" i="2"/>
  <c r="E207" i="2"/>
  <c r="F207" i="2"/>
  <c r="AD208" i="2" l="1"/>
  <c r="AW208" i="2" s="1"/>
  <c r="A208" i="3" s="1"/>
  <c r="S208" i="2"/>
  <c r="BK208" i="2"/>
  <c r="R208" i="2"/>
  <c r="BJ208" i="2"/>
  <c r="AG208" i="2"/>
  <c r="AF208" i="2"/>
  <c r="AE208" i="2"/>
  <c r="AH208" i="2"/>
  <c r="AX207" i="2"/>
  <c r="B207" i="3" s="1"/>
  <c r="BA207" i="2"/>
  <c r="E207" i="3" s="1"/>
  <c r="AZ207" i="2"/>
  <c r="D207" i="3" s="1"/>
  <c r="AY207" i="2"/>
  <c r="C207" i="3" s="1"/>
  <c r="E208" i="2"/>
  <c r="F208" i="2"/>
  <c r="G208" i="2"/>
  <c r="H208" i="2"/>
  <c r="I208" i="2"/>
  <c r="B208" i="2"/>
  <c r="J208" i="2"/>
  <c r="C208" i="2"/>
  <c r="A209" i="2"/>
  <c r="D208" i="2"/>
  <c r="S209" i="2" l="1"/>
  <c r="BK209" i="2"/>
  <c r="R209" i="2"/>
  <c r="BJ209" i="2"/>
  <c r="AH209" i="2"/>
  <c r="AF209" i="2"/>
  <c r="AE209" i="2"/>
  <c r="AG209" i="2"/>
  <c r="AD209" i="2"/>
  <c r="AW209" i="2" s="1"/>
  <c r="A209" i="3" s="1"/>
  <c r="BA208" i="2"/>
  <c r="E208" i="3" s="1"/>
  <c r="AZ208" i="2"/>
  <c r="D208" i="3" s="1"/>
  <c r="AY208" i="2"/>
  <c r="C208" i="3" s="1"/>
  <c r="AX208" i="2"/>
  <c r="B208" i="3" s="1"/>
  <c r="C209" i="2"/>
  <c r="A210" i="2"/>
  <c r="D209" i="2"/>
  <c r="E209" i="2"/>
  <c r="F209" i="2"/>
  <c r="G209" i="2"/>
  <c r="H209" i="2"/>
  <c r="I209" i="2"/>
  <c r="B209" i="2"/>
  <c r="J209" i="2"/>
  <c r="BK210" i="2" l="1"/>
  <c r="R210" i="2"/>
  <c r="BJ210" i="2"/>
  <c r="AH210" i="2"/>
  <c r="AG210" i="2"/>
  <c r="AE210" i="2"/>
  <c r="AD210" i="2"/>
  <c r="AW210" i="2" s="1"/>
  <c r="A210" i="3" s="1"/>
  <c r="AF210" i="2"/>
  <c r="S210" i="2"/>
  <c r="BA209" i="2"/>
  <c r="E209" i="3" s="1"/>
  <c r="AZ209" i="2"/>
  <c r="D209" i="3" s="1"/>
  <c r="AY209" i="2"/>
  <c r="C209" i="3" s="1"/>
  <c r="AX209" i="2"/>
  <c r="B209" i="3" s="1"/>
  <c r="I210" i="2"/>
  <c r="B210" i="2"/>
  <c r="J210" i="2"/>
  <c r="C210" i="2"/>
  <c r="A211" i="2"/>
  <c r="D210" i="2"/>
  <c r="E210" i="2"/>
  <c r="F210" i="2"/>
  <c r="G210" i="2"/>
  <c r="H210" i="2"/>
  <c r="BJ211" i="2" l="1"/>
  <c r="AH211" i="2"/>
  <c r="AG211" i="2"/>
  <c r="AF211" i="2"/>
  <c r="AD211" i="2"/>
  <c r="AW211" i="2" s="1"/>
  <c r="A211" i="3" s="1"/>
  <c r="S211" i="2"/>
  <c r="BK211" i="2"/>
  <c r="AE211" i="2"/>
  <c r="R211" i="2"/>
  <c r="AX210" i="2"/>
  <c r="B210" i="3" s="1"/>
  <c r="BA210" i="2"/>
  <c r="E210" i="3" s="1"/>
  <c r="AZ210" i="2"/>
  <c r="D210" i="3" s="1"/>
  <c r="AY210" i="2"/>
  <c r="C210" i="3" s="1"/>
  <c r="G211" i="2"/>
  <c r="H211" i="2"/>
  <c r="I211" i="2"/>
  <c r="B211" i="2"/>
  <c r="J211" i="2"/>
  <c r="C211" i="2"/>
  <c r="A212" i="2"/>
  <c r="D211" i="2"/>
  <c r="E211" i="2"/>
  <c r="F211" i="2"/>
  <c r="AH212" i="2" l="1"/>
  <c r="AG212" i="2"/>
  <c r="AF212" i="2"/>
  <c r="AE212" i="2"/>
  <c r="S212" i="2"/>
  <c r="BK212" i="2"/>
  <c r="R212" i="2"/>
  <c r="BJ212" i="2"/>
  <c r="AD212" i="2"/>
  <c r="AW212" i="2" s="1"/>
  <c r="A212" i="3" s="1"/>
  <c r="BA211" i="2"/>
  <c r="E211" i="3" s="1"/>
  <c r="AZ211" i="2"/>
  <c r="D211" i="3" s="1"/>
  <c r="AY211" i="2"/>
  <c r="C211" i="3" s="1"/>
  <c r="AX211" i="2"/>
  <c r="B211" i="3" s="1"/>
  <c r="E212" i="2"/>
  <c r="F212" i="2"/>
  <c r="G212" i="2"/>
  <c r="B212" i="2"/>
  <c r="C212" i="2"/>
  <c r="A213" i="2"/>
  <c r="D212" i="2"/>
  <c r="H212" i="2"/>
  <c r="I212" i="2"/>
  <c r="J212" i="2"/>
  <c r="AG213" i="2" l="1"/>
  <c r="AF213" i="2"/>
  <c r="AE213" i="2"/>
  <c r="AD213" i="2"/>
  <c r="AW213" i="2" s="1"/>
  <c r="A213" i="3" s="1"/>
  <c r="BK213" i="2"/>
  <c r="R213" i="2"/>
  <c r="BJ213" i="2"/>
  <c r="AH213" i="2"/>
  <c r="S213" i="2"/>
  <c r="BA212" i="2"/>
  <c r="E212" i="3" s="1"/>
  <c r="AZ212" i="2"/>
  <c r="D212" i="3" s="1"/>
  <c r="AY212" i="2"/>
  <c r="C212" i="3" s="1"/>
  <c r="AX212" i="2"/>
  <c r="B212" i="3" s="1"/>
  <c r="C213" i="2"/>
  <c r="A214" i="2"/>
  <c r="D213" i="2"/>
  <c r="E213" i="2"/>
  <c r="B213" i="2"/>
  <c r="F213" i="2"/>
  <c r="G213" i="2"/>
  <c r="H213" i="2"/>
  <c r="J213" i="2"/>
  <c r="I213" i="2"/>
  <c r="AF214" i="2" l="1"/>
  <c r="AE214" i="2"/>
  <c r="AD214" i="2"/>
  <c r="AW214" i="2" s="1"/>
  <c r="A214" i="3" s="1"/>
  <c r="S214" i="2"/>
  <c r="BJ214" i="2"/>
  <c r="AH214" i="2"/>
  <c r="R214" i="2"/>
  <c r="BK214" i="2"/>
  <c r="AG214" i="2"/>
  <c r="AX213" i="2"/>
  <c r="B213" i="3" s="1"/>
  <c r="BA213" i="2"/>
  <c r="E213" i="3" s="1"/>
  <c r="AZ213" i="2"/>
  <c r="D213" i="3" s="1"/>
  <c r="AY213" i="2"/>
  <c r="C213" i="3" s="1"/>
  <c r="I214" i="2"/>
  <c r="C214" i="2"/>
  <c r="A215" i="2"/>
  <c r="D214" i="2"/>
  <c r="E214" i="2"/>
  <c r="F214" i="2"/>
  <c r="G214" i="2"/>
  <c r="H214" i="2"/>
  <c r="J214" i="2"/>
  <c r="B214" i="2"/>
  <c r="AE215" i="2" l="1"/>
  <c r="AD215" i="2"/>
  <c r="AW215" i="2" s="1"/>
  <c r="A215" i="3" s="1"/>
  <c r="S215" i="2"/>
  <c r="BK215" i="2"/>
  <c r="R215" i="2"/>
  <c r="AH215" i="2"/>
  <c r="AG215" i="2"/>
  <c r="AF215" i="2"/>
  <c r="BJ215" i="2"/>
  <c r="BA214" i="2"/>
  <c r="E214" i="3" s="1"/>
  <c r="AZ214" i="2"/>
  <c r="D214" i="3" s="1"/>
  <c r="AY214" i="2"/>
  <c r="C214" i="3" s="1"/>
  <c r="AX214" i="2"/>
  <c r="B214" i="3" s="1"/>
  <c r="G215" i="2"/>
  <c r="I215" i="2"/>
  <c r="D215" i="2"/>
  <c r="E215" i="2"/>
  <c r="F215" i="2"/>
  <c r="H215" i="2"/>
  <c r="B215" i="2"/>
  <c r="J215" i="2"/>
  <c r="A216" i="2"/>
  <c r="C215" i="2"/>
  <c r="AD216" i="2" l="1"/>
  <c r="AW216" i="2" s="1"/>
  <c r="A216" i="3" s="1"/>
  <c r="S216" i="2"/>
  <c r="BK216" i="2"/>
  <c r="R216" i="2"/>
  <c r="BJ216" i="2"/>
  <c r="AG216" i="2"/>
  <c r="AF216" i="2"/>
  <c r="AH216" i="2"/>
  <c r="AE216" i="2"/>
  <c r="BA215" i="2"/>
  <c r="E215" i="3" s="1"/>
  <c r="AZ215" i="2"/>
  <c r="D215" i="3" s="1"/>
  <c r="AY215" i="2"/>
  <c r="C215" i="3" s="1"/>
  <c r="AX215" i="2"/>
  <c r="B215" i="3" s="1"/>
  <c r="E216" i="2"/>
  <c r="G216" i="2"/>
  <c r="D216" i="2"/>
  <c r="F216" i="2"/>
  <c r="H216" i="2"/>
  <c r="B216" i="2"/>
  <c r="I216" i="2"/>
  <c r="J216" i="2"/>
  <c r="A217" i="2"/>
  <c r="C216" i="2"/>
  <c r="S217" i="2" l="1"/>
  <c r="BK217" i="2"/>
  <c r="R217" i="2"/>
  <c r="BJ217" i="2"/>
  <c r="AH217" i="2"/>
  <c r="AF217" i="2"/>
  <c r="AE217" i="2"/>
  <c r="AG217" i="2"/>
  <c r="AD217" i="2"/>
  <c r="AW217" i="2" s="1"/>
  <c r="A217" i="3" s="1"/>
  <c r="AY216" i="2"/>
  <c r="C216" i="3" s="1"/>
  <c r="AX216" i="2"/>
  <c r="B216" i="3" s="1"/>
  <c r="BA216" i="2"/>
  <c r="E216" i="3" s="1"/>
  <c r="AZ216" i="2"/>
  <c r="D216" i="3" s="1"/>
  <c r="C217" i="2"/>
  <c r="A218" i="2"/>
  <c r="E217" i="2"/>
  <c r="F217" i="2"/>
  <c r="G217" i="2"/>
  <c r="B217" i="2"/>
  <c r="H217" i="2"/>
  <c r="I217" i="2"/>
  <c r="J217" i="2"/>
  <c r="D217" i="2"/>
  <c r="BK218" i="2" l="1"/>
  <c r="R218" i="2"/>
  <c r="BJ218" i="2"/>
  <c r="AH218" i="2"/>
  <c r="AG218" i="2"/>
  <c r="AE218" i="2"/>
  <c r="AD218" i="2"/>
  <c r="AW218" i="2" s="1"/>
  <c r="A218" i="3" s="1"/>
  <c r="AF218" i="2"/>
  <c r="S218" i="2"/>
  <c r="BA217" i="2"/>
  <c r="E217" i="3" s="1"/>
  <c r="AZ217" i="2"/>
  <c r="D217" i="3" s="1"/>
  <c r="AY217" i="2"/>
  <c r="C217" i="3" s="1"/>
  <c r="AX217" i="2"/>
  <c r="B217" i="3" s="1"/>
  <c r="I218" i="2"/>
  <c r="C218" i="2"/>
  <c r="A219" i="2"/>
  <c r="F218" i="2"/>
  <c r="D218" i="2"/>
  <c r="G218" i="2"/>
  <c r="H218" i="2"/>
  <c r="J218" i="2"/>
  <c r="B218" i="2"/>
  <c r="E218" i="2"/>
  <c r="BJ219" i="2" l="1"/>
  <c r="AH219" i="2"/>
  <c r="AG219" i="2"/>
  <c r="AF219" i="2"/>
  <c r="AD219" i="2"/>
  <c r="AW219" i="2" s="1"/>
  <c r="A219" i="3" s="1"/>
  <c r="S219" i="2"/>
  <c r="R219" i="2"/>
  <c r="BK219" i="2"/>
  <c r="AE219" i="2"/>
  <c r="BA218" i="2"/>
  <c r="E218" i="3" s="1"/>
  <c r="AZ218" i="2"/>
  <c r="D218" i="3" s="1"/>
  <c r="AY218" i="2"/>
  <c r="C218" i="3" s="1"/>
  <c r="AX218" i="2"/>
  <c r="B218" i="3" s="1"/>
  <c r="G219" i="2"/>
  <c r="I219" i="2"/>
  <c r="F219" i="2"/>
  <c r="H219" i="2"/>
  <c r="J219" i="2"/>
  <c r="A220" i="2"/>
  <c r="B219" i="2"/>
  <c r="C219" i="2"/>
  <c r="E219" i="2"/>
  <c r="D219" i="2"/>
  <c r="AH220" i="2" l="1"/>
  <c r="AG220" i="2"/>
  <c r="AF220" i="2"/>
  <c r="AE220" i="2"/>
  <c r="S220" i="2"/>
  <c r="BK220" i="2"/>
  <c r="R220" i="2"/>
  <c r="BJ220" i="2"/>
  <c r="AD220" i="2"/>
  <c r="AW220" i="2" s="1"/>
  <c r="A220" i="3" s="1"/>
  <c r="AY219" i="2"/>
  <c r="C219" i="3" s="1"/>
  <c r="AX219" i="2"/>
  <c r="B219" i="3" s="1"/>
  <c r="BA219" i="2"/>
  <c r="E219" i="3" s="1"/>
  <c r="AZ219" i="2"/>
  <c r="D219" i="3" s="1"/>
  <c r="E220" i="2"/>
  <c r="G220" i="2"/>
  <c r="H220" i="2"/>
  <c r="I220" i="2"/>
  <c r="J220" i="2"/>
  <c r="A221" i="2"/>
  <c r="B220" i="2"/>
  <c r="C220" i="2"/>
  <c r="D220" i="2"/>
  <c r="F220" i="2"/>
  <c r="AG221" i="2" l="1"/>
  <c r="AF221" i="2"/>
  <c r="AE221" i="2"/>
  <c r="AD221" i="2"/>
  <c r="AW221" i="2" s="1"/>
  <c r="A221" i="3" s="1"/>
  <c r="BK221" i="2"/>
  <c r="R221" i="2"/>
  <c r="BJ221" i="2"/>
  <c r="S221" i="2"/>
  <c r="AH221" i="2"/>
  <c r="BA220" i="2"/>
  <c r="E220" i="3" s="1"/>
  <c r="AZ220" i="2"/>
  <c r="D220" i="3" s="1"/>
  <c r="AY220" i="2"/>
  <c r="C220" i="3" s="1"/>
  <c r="AX220" i="2"/>
  <c r="B220" i="3" s="1"/>
  <c r="C221" i="2"/>
  <c r="A222" i="2"/>
  <c r="E221" i="2"/>
  <c r="H221" i="2"/>
  <c r="I221" i="2"/>
  <c r="J221" i="2"/>
  <c r="B221" i="2"/>
  <c r="D221" i="2"/>
  <c r="F221" i="2"/>
  <c r="G221" i="2"/>
  <c r="AF222" i="2" l="1"/>
  <c r="AE222" i="2"/>
  <c r="AD222" i="2"/>
  <c r="AW222" i="2" s="1"/>
  <c r="A222" i="3" s="1"/>
  <c r="S222" i="2"/>
  <c r="BJ222" i="2"/>
  <c r="AH222" i="2"/>
  <c r="AG222" i="2"/>
  <c r="R222" i="2"/>
  <c r="BK222" i="2"/>
  <c r="BA221" i="2"/>
  <c r="E221" i="3" s="1"/>
  <c r="AZ221" i="2"/>
  <c r="D221" i="3" s="1"/>
  <c r="AY221" i="2"/>
  <c r="C221" i="3" s="1"/>
  <c r="AX221" i="2"/>
  <c r="B221" i="3" s="1"/>
  <c r="I222" i="2"/>
  <c r="C222" i="2"/>
  <c r="A223" i="2"/>
  <c r="H222" i="2"/>
  <c r="J222" i="2"/>
  <c r="B222" i="2"/>
  <c r="D222" i="2"/>
  <c r="E222" i="2"/>
  <c r="F222" i="2"/>
  <c r="G222" i="2"/>
  <c r="AE223" i="2" l="1"/>
  <c r="AD223" i="2"/>
  <c r="AW223" i="2" s="1"/>
  <c r="A223" i="3" s="1"/>
  <c r="S223" i="2"/>
  <c r="BK223" i="2"/>
  <c r="R223" i="2"/>
  <c r="AH223" i="2"/>
  <c r="AG223" i="2"/>
  <c r="BJ223" i="2"/>
  <c r="AF223" i="2"/>
  <c r="AX222" i="2"/>
  <c r="B222" i="3" s="1"/>
  <c r="BA222" i="2"/>
  <c r="E222" i="3" s="1"/>
  <c r="AZ222" i="2"/>
  <c r="D222" i="3" s="1"/>
  <c r="AY222" i="2"/>
  <c r="C222" i="3" s="1"/>
  <c r="G223" i="2"/>
  <c r="I223" i="2"/>
  <c r="J223" i="2"/>
  <c r="A224" i="2"/>
  <c r="B223" i="2"/>
  <c r="C223" i="2"/>
  <c r="D223" i="2"/>
  <c r="E223" i="2"/>
  <c r="F223" i="2"/>
  <c r="H223" i="2"/>
  <c r="AD224" i="2" l="1"/>
  <c r="AW224" i="2" s="1"/>
  <c r="A224" i="3" s="1"/>
  <c r="S224" i="2"/>
  <c r="BK224" i="2"/>
  <c r="R224" i="2"/>
  <c r="BJ224" i="2"/>
  <c r="AG224" i="2"/>
  <c r="AF224" i="2"/>
  <c r="AH224" i="2"/>
  <c r="AE224" i="2"/>
  <c r="BA223" i="2"/>
  <c r="E223" i="3" s="1"/>
  <c r="AZ223" i="2"/>
  <c r="D223" i="3" s="1"/>
  <c r="AY223" i="2"/>
  <c r="C223" i="3" s="1"/>
  <c r="AX223" i="2"/>
  <c r="B223" i="3" s="1"/>
  <c r="E224" i="2"/>
  <c r="G224" i="2"/>
  <c r="J224" i="2"/>
  <c r="A225" i="2"/>
  <c r="B224" i="2"/>
  <c r="C224" i="2"/>
  <c r="D224" i="2"/>
  <c r="F224" i="2"/>
  <c r="H224" i="2"/>
  <c r="I224" i="2"/>
  <c r="S225" i="2" l="1"/>
  <c r="BK225" i="2"/>
  <c r="R225" i="2"/>
  <c r="BJ225" i="2"/>
  <c r="AH225" i="2"/>
  <c r="AF225" i="2"/>
  <c r="AE225" i="2"/>
  <c r="AG225" i="2"/>
  <c r="AD225" i="2"/>
  <c r="AW225" i="2" s="1"/>
  <c r="A225" i="3" s="1"/>
  <c r="BA224" i="2"/>
  <c r="E224" i="3" s="1"/>
  <c r="AZ224" i="2"/>
  <c r="D224" i="3" s="1"/>
  <c r="AY224" i="2"/>
  <c r="C224" i="3" s="1"/>
  <c r="AX224" i="2"/>
  <c r="B224" i="3" s="1"/>
  <c r="C225" i="2"/>
  <c r="A226" i="2"/>
  <c r="E225" i="2"/>
  <c r="J225" i="2"/>
  <c r="B225" i="2"/>
  <c r="D225" i="2"/>
  <c r="F225" i="2"/>
  <c r="G225" i="2"/>
  <c r="H225" i="2"/>
  <c r="I225" i="2"/>
  <c r="BK226" i="2" l="1"/>
  <c r="R226" i="2"/>
  <c r="BJ226" i="2"/>
  <c r="AH226" i="2"/>
  <c r="AG226" i="2"/>
  <c r="AE226" i="2"/>
  <c r="AD226" i="2"/>
  <c r="AW226" i="2" s="1"/>
  <c r="A226" i="3" s="1"/>
  <c r="S226" i="2"/>
  <c r="AF226" i="2"/>
  <c r="AX225" i="2"/>
  <c r="B225" i="3" s="1"/>
  <c r="BA225" i="2"/>
  <c r="E225" i="3" s="1"/>
  <c r="AZ225" i="2"/>
  <c r="D225" i="3" s="1"/>
  <c r="AY225" i="2"/>
  <c r="C225" i="3" s="1"/>
  <c r="I226" i="2"/>
  <c r="C226" i="2"/>
  <c r="A227" i="2"/>
  <c r="B226" i="2"/>
  <c r="D226" i="2"/>
  <c r="E226" i="2"/>
  <c r="F226" i="2"/>
  <c r="G226" i="2"/>
  <c r="H226" i="2"/>
  <c r="J226" i="2"/>
  <c r="BJ227" i="2" l="1"/>
  <c r="AH227" i="2"/>
  <c r="AG227" i="2"/>
  <c r="AF227" i="2"/>
  <c r="AD227" i="2"/>
  <c r="AW227" i="2" s="1"/>
  <c r="A227" i="3" s="1"/>
  <c r="S227" i="2"/>
  <c r="BK227" i="2"/>
  <c r="AE227" i="2"/>
  <c r="R227" i="2"/>
  <c r="BA226" i="2"/>
  <c r="E226" i="3" s="1"/>
  <c r="AZ226" i="2"/>
  <c r="D226" i="3" s="1"/>
  <c r="AY226" i="2"/>
  <c r="C226" i="3" s="1"/>
  <c r="AX226" i="2"/>
  <c r="B226" i="3" s="1"/>
  <c r="I227" i="2"/>
  <c r="B227" i="2"/>
  <c r="J227" i="2"/>
  <c r="C227" i="2"/>
  <c r="A228" i="2"/>
  <c r="D227" i="2"/>
  <c r="E227" i="2"/>
  <c r="F227" i="2"/>
  <c r="G227" i="2"/>
  <c r="H227" i="2"/>
  <c r="AH228" i="2" l="1"/>
  <c r="AG228" i="2"/>
  <c r="AF228" i="2"/>
  <c r="AE228" i="2"/>
  <c r="S228" i="2"/>
  <c r="BK228" i="2"/>
  <c r="R228" i="2"/>
  <c r="AD228" i="2"/>
  <c r="AW228" i="2" s="1"/>
  <c r="A228" i="3" s="1"/>
  <c r="BJ228" i="2"/>
  <c r="BA227" i="2"/>
  <c r="E227" i="3" s="1"/>
  <c r="AZ227" i="2"/>
  <c r="D227" i="3" s="1"/>
  <c r="AY227" i="2"/>
  <c r="C227" i="3" s="1"/>
  <c r="AX227" i="2"/>
  <c r="B227" i="3" s="1"/>
  <c r="G228" i="2"/>
  <c r="H228" i="2"/>
  <c r="I228" i="2"/>
  <c r="B228" i="2"/>
  <c r="J228" i="2"/>
  <c r="C228" i="2"/>
  <c r="A229" i="2"/>
  <c r="D228" i="2"/>
  <c r="E228" i="2"/>
  <c r="F228" i="2"/>
  <c r="AG229" i="2" l="1"/>
  <c r="AF229" i="2"/>
  <c r="AE229" i="2"/>
  <c r="AD229" i="2"/>
  <c r="AW229" i="2" s="1"/>
  <c r="A229" i="3" s="1"/>
  <c r="BK229" i="2"/>
  <c r="R229" i="2"/>
  <c r="BJ229" i="2"/>
  <c r="AH229" i="2"/>
  <c r="S229" i="2"/>
  <c r="AY228" i="2"/>
  <c r="C228" i="3" s="1"/>
  <c r="AX228" i="2"/>
  <c r="B228" i="3" s="1"/>
  <c r="BA228" i="2"/>
  <c r="E228" i="3" s="1"/>
  <c r="AZ228" i="2"/>
  <c r="D228" i="3" s="1"/>
  <c r="E229" i="2"/>
  <c r="F229" i="2"/>
  <c r="G229" i="2"/>
  <c r="H229" i="2"/>
  <c r="I229" i="2"/>
  <c r="B229" i="2"/>
  <c r="J229" i="2"/>
  <c r="C229" i="2"/>
  <c r="A230" i="2"/>
  <c r="D229" i="2"/>
  <c r="AF230" i="2" l="1"/>
  <c r="AE230" i="2"/>
  <c r="AD230" i="2"/>
  <c r="AW230" i="2" s="1"/>
  <c r="A230" i="3" s="1"/>
  <c r="S230" i="2"/>
  <c r="BJ230" i="2"/>
  <c r="AH230" i="2"/>
  <c r="BK230" i="2"/>
  <c r="R230" i="2"/>
  <c r="AG230" i="2"/>
  <c r="BA229" i="2"/>
  <c r="E229" i="3" s="1"/>
  <c r="AZ229" i="2"/>
  <c r="D229" i="3" s="1"/>
  <c r="AY229" i="2"/>
  <c r="C229" i="3" s="1"/>
  <c r="AX229" i="2"/>
  <c r="B229" i="3" s="1"/>
  <c r="C230" i="2"/>
  <c r="A231" i="2"/>
  <c r="D230" i="2"/>
  <c r="E230" i="2"/>
  <c r="F230" i="2"/>
  <c r="G230" i="2"/>
  <c r="H230" i="2"/>
  <c r="I230" i="2"/>
  <c r="B230" i="2"/>
  <c r="J230" i="2"/>
  <c r="AE231" i="2" l="1"/>
  <c r="AD231" i="2"/>
  <c r="AW231" i="2" s="1"/>
  <c r="A231" i="3" s="1"/>
  <c r="S231" i="2"/>
  <c r="BK231" i="2"/>
  <c r="R231" i="2"/>
  <c r="AH231" i="2"/>
  <c r="AG231" i="2"/>
  <c r="BJ231" i="2"/>
  <c r="AF231" i="2"/>
  <c r="BA230" i="2"/>
  <c r="E230" i="3" s="1"/>
  <c r="AZ230" i="2"/>
  <c r="D230" i="3" s="1"/>
  <c r="AY230" i="2"/>
  <c r="C230" i="3" s="1"/>
  <c r="AX230" i="2"/>
  <c r="B230" i="3" s="1"/>
  <c r="I231" i="2"/>
  <c r="B231" i="2"/>
  <c r="J231" i="2"/>
  <c r="C231" i="2"/>
  <c r="A232" i="2"/>
  <c r="D231" i="2"/>
  <c r="E231" i="2"/>
  <c r="F231" i="2"/>
  <c r="G231" i="2"/>
  <c r="H231" i="2"/>
  <c r="AD232" i="2" l="1"/>
  <c r="AW232" i="2" s="1"/>
  <c r="A232" i="3" s="1"/>
  <c r="S232" i="2"/>
  <c r="BK232" i="2"/>
  <c r="R232" i="2"/>
  <c r="BJ232" i="2"/>
  <c r="AG232" i="2"/>
  <c r="AF232" i="2"/>
  <c r="AH232" i="2"/>
  <c r="AE232" i="2"/>
  <c r="AY231" i="2"/>
  <c r="C231" i="3" s="1"/>
  <c r="AX231" i="2"/>
  <c r="B231" i="3" s="1"/>
  <c r="BA231" i="2"/>
  <c r="E231" i="3" s="1"/>
  <c r="AZ231" i="2"/>
  <c r="D231" i="3" s="1"/>
  <c r="G232" i="2"/>
  <c r="H232" i="2"/>
  <c r="I232" i="2"/>
  <c r="B232" i="2"/>
  <c r="J232" i="2"/>
  <c r="C232" i="2"/>
  <c r="A233" i="2"/>
  <c r="D232" i="2"/>
  <c r="E232" i="2"/>
  <c r="F232" i="2"/>
  <c r="S233" i="2" l="1"/>
  <c r="BK233" i="2"/>
  <c r="R233" i="2"/>
  <c r="BJ233" i="2"/>
  <c r="AH233" i="2"/>
  <c r="AF233" i="2"/>
  <c r="AE233" i="2"/>
  <c r="AD233" i="2"/>
  <c r="AW233" i="2" s="1"/>
  <c r="A233" i="3" s="1"/>
  <c r="AG233" i="2"/>
  <c r="BA232" i="2"/>
  <c r="E232" i="3" s="1"/>
  <c r="AZ232" i="2"/>
  <c r="D232" i="3" s="1"/>
  <c r="AY232" i="2"/>
  <c r="C232" i="3" s="1"/>
  <c r="AX232" i="2"/>
  <c r="B232" i="3" s="1"/>
  <c r="E233" i="2"/>
  <c r="F233" i="2"/>
  <c r="G233" i="2"/>
  <c r="H233" i="2"/>
  <c r="I233" i="2"/>
  <c r="B233" i="2"/>
  <c r="J233" i="2"/>
  <c r="C233" i="2"/>
  <c r="A234" i="2"/>
  <c r="D233" i="2"/>
  <c r="BK234" i="2" l="1"/>
  <c r="R234" i="2"/>
  <c r="BJ234" i="2"/>
  <c r="AH234" i="2"/>
  <c r="AG234" i="2"/>
  <c r="AE234" i="2"/>
  <c r="AD234" i="2"/>
  <c r="AW234" i="2" s="1"/>
  <c r="A234" i="3" s="1"/>
  <c r="AF234" i="2"/>
  <c r="S234" i="2"/>
  <c r="BA233" i="2"/>
  <c r="E233" i="3" s="1"/>
  <c r="AZ233" i="2"/>
  <c r="D233" i="3" s="1"/>
  <c r="AY233" i="2"/>
  <c r="C233" i="3" s="1"/>
  <c r="AX233" i="2"/>
  <c r="B233" i="3" s="1"/>
  <c r="C234" i="2"/>
  <c r="A235" i="2"/>
  <c r="D234" i="2"/>
  <c r="E234" i="2"/>
  <c r="F234" i="2"/>
  <c r="G234" i="2"/>
  <c r="H234" i="2"/>
  <c r="I234" i="2"/>
  <c r="B234" i="2"/>
  <c r="J234" i="2"/>
  <c r="BJ235" i="2" l="1"/>
  <c r="AH235" i="2"/>
  <c r="AG235" i="2"/>
  <c r="AF235" i="2"/>
  <c r="AD235" i="2"/>
  <c r="AW235" i="2" s="1"/>
  <c r="A235" i="3" s="1"/>
  <c r="S235" i="2"/>
  <c r="AE235" i="2"/>
  <c r="R235" i="2"/>
  <c r="BK235" i="2"/>
  <c r="AY234" i="2"/>
  <c r="C234" i="3" s="1"/>
  <c r="AX234" i="2"/>
  <c r="B234" i="3" s="1"/>
  <c r="BA234" i="2"/>
  <c r="E234" i="3" s="1"/>
  <c r="AZ234" i="2"/>
  <c r="D234" i="3" s="1"/>
  <c r="I235" i="2"/>
  <c r="B235" i="2"/>
  <c r="J235" i="2"/>
  <c r="C235" i="2"/>
  <c r="A236" i="2"/>
  <c r="D235" i="2"/>
  <c r="E235" i="2"/>
  <c r="F235" i="2"/>
  <c r="G235" i="2"/>
  <c r="H235" i="2"/>
  <c r="AH236" i="2" l="1"/>
  <c r="AG236" i="2"/>
  <c r="AF236" i="2"/>
  <c r="AE236" i="2"/>
  <c r="S236" i="2"/>
  <c r="BK236" i="2"/>
  <c r="R236" i="2"/>
  <c r="BJ236" i="2"/>
  <c r="AD236" i="2"/>
  <c r="AW236" i="2" s="1"/>
  <c r="A236" i="3" s="1"/>
  <c r="BA235" i="2"/>
  <c r="E235" i="3" s="1"/>
  <c r="AZ235" i="2"/>
  <c r="D235" i="3" s="1"/>
  <c r="AY235" i="2"/>
  <c r="C235" i="3" s="1"/>
  <c r="AX235" i="2"/>
  <c r="B235" i="3" s="1"/>
  <c r="G236" i="2"/>
  <c r="H236" i="2"/>
  <c r="I236" i="2"/>
  <c r="B236" i="2"/>
  <c r="J236" i="2"/>
  <c r="C236" i="2"/>
  <c r="A237" i="2"/>
  <c r="D236" i="2"/>
  <c r="E236" i="2"/>
  <c r="F236" i="2"/>
  <c r="AG237" i="2" l="1"/>
  <c r="AF237" i="2"/>
  <c r="AE237" i="2"/>
  <c r="AD237" i="2"/>
  <c r="AW237" i="2" s="1"/>
  <c r="A237" i="3" s="1"/>
  <c r="BK237" i="2"/>
  <c r="R237" i="2"/>
  <c r="BJ237" i="2"/>
  <c r="AH237" i="2"/>
  <c r="S237" i="2"/>
  <c r="BA236" i="2"/>
  <c r="E236" i="3" s="1"/>
  <c r="AZ236" i="2"/>
  <c r="D236" i="3" s="1"/>
  <c r="AY236" i="2"/>
  <c r="C236" i="3" s="1"/>
  <c r="AX236" i="2"/>
  <c r="B236" i="3" s="1"/>
  <c r="E237" i="2"/>
  <c r="F237" i="2"/>
  <c r="G237" i="2"/>
  <c r="H237" i="2"/>
  <c r="I237" i="2"/>
  <c r="B237" i="2"/>
  <c r="J237" i="2"/>
  <c r="C237" i="2"/>
  <c r="A238" i="2"/>
  <c r="D237" i="2"/>
  <c r="AF238" i="2" l="1"/>
  <c r="AE238" i="2"/>
  <c r="AD238" i="2"/>
  <c r="AW238" i="2" s="1"/>
  <c r="A238" i="3" s="1"/>
  <c r="S238" i="2"/>
  <c r="BJ238" i="2"/>
  <c r="AH238" i="2"/>
  <c r="BK238" i="2"/>
  <c r="AG238" i="2"/>
  <c r="R238" i="2"/>
  <c r="AY237" i="2"/>
  <c r="C237" i="3" s="1"/>
  <c r="AX237" i="2"/>
  <c r="B237" i="3" s="1"/>
  <c r="BA237" i="2"/>
  <c r="E237" i="3" s="1"/>
  <c r="AZ237" i="2"/>
  <c r="D237" i="3" s="1"/>
  <c r="C238" i="2"/>
  <c r="A239" i="2"/>
  <c r="D238" i="2"/>
  <c r="E238" i="2"/>
  <c r="F238" i="2"/>
  <c r="G238" i="2"/>
  <c r="H238" i="2"/>
  <c r="I238" i="2"/>
  <c r="B238" i="2"/>
  <c r="J238" i="2"/>
  <c r="AE239" i="2" l="1"/>
  <c r="AD239" i="2"/>
  <c r="AW239" i="2" s="1"/>
  <c r="A239" i="3" s="1"/>
  <c r="S239" i="2"/>
  <c r="BK239" i="2"/>
  <c r="R239" i="2"/>
  <c r="AH239" i="2"/>
  <c r="AG239" i="2"/>
  <c r="BJ239" i="2"/>
  <c r="AF239" i="2"/>
  <c r="BA238" i="2"/>
  <c r="E238" i="3" s="1"/>
  <c r="AZ238" i="2"/>
  <c r="D238" i="3" s="1"/>
  <c r="AY238" i="2"/>
  <c r="C238" i="3" s="1"/>
  <c r="AX238" i="2"/>
  <c r="B238" i="3" s="1"/>
  <c r="I239" i="2"/>
  <c r="B239" i="2"/>
  <c r="J239" i="2"/>
  <c r="C239" i="2"/>
  <c r="A240" i="2"/>
  <c r="D239" i="2"/>
  <c r="E239" i="2"/>
  <c r="F239" i="2"/>
  <c r="G239" i="2"/>
  <c r="H239" i="2"/>
  <c r="AD240" i="2" l="1"/>
  <c r="AW240" i="2" s="1"/>
  <c r="A240" i="3" s="1"/>
  <c r="S240" i="2"/>
  <c r="BK240" i="2"/>
  <c r="R240" i="2"/>
  <c r="BJ240" i="2"/>
  <c r="AG240" i="2"/>
  <c r="AF240" i="2"/>
  <c r="AE240" i="2"/>
  <c r="AH240" i="2"/>
  <c r="BA239" i="2"/>
  <c r="E239" i="3" s="1"/>
  <c r="AZ239" i="2"/>
  <c r="D239" i="3" s="1"/>
  <c r="AY239" i="2"/>
  <c r="C239" i="3" s="1"/>
  <c r="AX239" i="2"/>
  <c r="B239" i="3" s="1"/>
  <c r="G240" i="2"/>
  <c r="H240" i="2"/>
  <c r="I240" i="2"/>
  <c r="B240" i="2"/>
  <c r="J240" i="2"/>
  <c r="C240" i="2"/>
  <c r="A241" i="2"/>
  <c r="D240" i="2"/>
  <c r="E240" i="2"/>
  <c r="F240" i="2"/>
  <c r="S241" i="2" l="1"/>
  <c r="BK241" i="2"/>
  <c r="R241" i="2"/>
  <c r="BJ241" i="2"/>
  <c r="AH241" i="2"/>
  <c r="AF241" i="2"/>
  <c r="AE241" i="2"/>
  <c r="AG241" i="2"/>
  <c r="AD241" i="2"/>
  <c r="AW241" i="2" s="1"/>
  <c r="A241" i="3" s="1"/>
  <c r="AZ240" i="2"/>
  <c r="D240" i="3" s="1"/>
  <c r="AY240" i="2"/>
  <c r="C240" i="3" s="1"/>
  <c r="AX240" i="2"/>
  <c r="B240" i="3" s="1"/>
  <c r="BA240" i="2"/>
  <c r="E240" i="3" s="1"/>
  <c r="E241" i="2"/>
  <c r="F241" i="2"/>
  <c r="G241" i="2"/>
  <c r="H241" i="2"/>
  <c r="I241" i="2"/>
  <c r="B241" i="2"/>
  <c r="J241" i="2"/>
  <c r="C241" i="2"/>
  <c r="A242" i="2"/>
  <c r="D241" i="2"/>
  <c r="BK242" i="2" l="1"/>
  <c r="R242" i="2"/>
  <c r="BJ242" i="2"/>
  <c r="AH242" i="2"/>
  <c r="AG242" i="2"/>
  <c r="AE242" i="2"/>
  <c r="AD242" i="2"/>
  <c r="AW242" i="2" s="1"/>
  <c r="A242" i="3" s="1"/>
  <c r="AF242" i="2"/>
  <c r="S242" i="2"/>
  <c r="BA241" i="2"/>
  <c r="E241" i="3" s="1"/>
  <c r="AZ241" i="2"/>
  <c r="D241" i="3" s="1"/>
  <c r="AY241" i="2"/>
  <c r="C241" i="3" s="1"/>
  <c r="AX241" i="2"/>
  <c r="B241" i="3" s="1"/>
  <c r="C242" i="2"/>
  <c r="A243" i="2"/>
  <c r="D242" i="2"/>
  <c r="E242" i="2"/>
  <c r="F242" i="2"/>
  <c r="G242" i="2"/>
  <c r="H242" i="2"/>
  <c r="I242" i="2"/>
  <c r="B242" i="2"/>
  <c r="J242" i="2"/>
  <c r="BJ243" i="2" l="1"/>
  <c r="AH243" i="2"/>
  <c r="AG243" i="2"/>
  <c r="AF243" i="2"/>
  <c r="AD243" i="2"/>
  <c r="AW243" i="2" s="1"/>
  <c r="A243" i="3" s="1"/>
  <c r="S243" i="2"/>
  <c r="BK243" i="2"/>
  <c r="AE243" i="2"/>
  <c r="R243" i="2"/>
  <c r="BA242" i="2"/>
  <c r="E242" i="3" s="1"/>
  <c r="AZ242" i="2"/>
  <c r="D242" i="3" s="1"/>
  <c r="AY242" i="2"/>
  <c r="C242" i="3" s="1"/>
  <c r="AX242" i="2"/>
  <c r="B242" i="3" s="1"/>
  <c r="I243" i="2"/>
  <c r="B243" i="2"/>
  <c r="J243" i="2"/>
  <c r="C243" i="2"/>
  <c r="A244" i="2"/>
  <c r="D243" i="2"/>
  <c r="E243" i="2"/>
  <c r="F243" i="2"/>
  <c r="G243" i="2"/>
  <c r="H243" i="2"/>
  <c r="AH244" i="2" l="1"/>
  <c r="AG244" i="2"/>
  <c r="AF244" i="2"/>
  <c r="AE244" i="2"/>
  <c r="S244" i="2"/>
  <c r="BK244" i="2"/>
  <c r="R244" i="2"/>
  <c r="BJ244" i="2"/>
  <c r="AD244" i="2"/>
  <c r="AW244" i="2" s="1"/>
  <c r="A244" i="3" s="1"/>
  <c r="AZ243" i="2"/>
  <c r="D243" i="3" s="1"/>
  <c r="AY243" i="2"/>
  <c r="C243" i="3" s="1"/>
  <c r="AX243" i="2"/>
  <c r="B243" i="3" s="1"/>
  <c r="BA243" i="2"/>
  <c r="E243" i="3" s="1"/>
  <c r="G244" i="2"/>
  <c r="H244" i="2"/>
  <c r="I244" i="2"/>
  <c r="B244" i="2"/>
  <c r="J244" i="2"/>
  <c r="C244" i="2"/>
  <c r="A245" i="2"/>
  <c r="D244" i="2"/>
  <c r="E244" i="2"/>
  <c r="F244" i="2"/>
  <c r="AG245" i="2" l="1"/>
  <c r="AF245" i="2"/>
  <c r="AE245" i="2"/>
  <c r="AD245" i="2"/>
  <c r="AW245" i="2" s="1"/>
  <c r="A245" i="3" s="1"/>
  <c r="BK245" i="2"/>
  <c r="R245" i="2"/>
  <c r="BJ245" i="2"/>
  <c r="AH245" i="2"/>
  <c r="S245" i="2"/>
  <c r="BA244" i="2"/>
  <c r="E244" i="3" s="1"/>
  <c r="AZ244" i="2"/>
  <c r="D244" i="3" s="1"/>
  <c r="AY244" i="2"/>
  <c r="C244" i="3" s="1"/>
  <c r="AX244" i="2"/>
  <c r="B244" i="3" s="1"/>
  <c r="E245" i="2"/>
  <c r="F245" i="2"/>
  <c r="G245" i="2"/>
  <c r="H245" i="2"/>
  <c r="I245" i="2"/>
  <c r="B245" i="2"/>
  <c r="J245" i="2"/>
  <c r="C245" i="2"/>
  <c r="A246" i="2"/>
  <c r="D245" i="2"/>
  <c r="AF246" i="2" l="1"/>
  <c r="AE246" i="2"/>
  <c r="AD246" i="2"/>
  <c r="AW246" i="2" s="1"/>
  <c r="A246" i="3" s="1"/>
  <c r="S246" i="2"/>
  <c r="BJ246" i="2"/>
  <c r="AH246" i="2"/>
  <c r="R246" i="2"/>
  <c r="BK246" i="2"/>
  <c r="AG246" i="2"/>
  <c r="BA245" i="2"/>
  <c r="E245" i="3" s="1"/>
  <c r="AZ245" i="2"/>
  <c r="D245" i="3" s="1"/>
  <c r="AY245" i="2"/>
  <c r="C245" i="3" s="1"/>
  <c r="AX245" i="2"/>
  <c r="B245" i="3" s="1"/>
  <c r="C246" i="2"/>
  <c r="A247" i="2"/>
  <c r="D246" i="2"/>
  <c r="E246" i="2"/>
  <c r="F246" i="2"/>
  <c r="G246" i="2"/>
  <c r="H246" i="2"/>
  <c r="I246" i="2"/>
  <c r="B246" i="2"/>
  <c r="J246" i="2"/>
  <c r="AE247" i="2" l="1"/>
  <c r="AD247" i="2"/>
  <c r="AW247" i="2" s="1"/>
  <c r="A247" i="3" s="1"/>
  <c r="S247" i="2"/>
  <c r="BK247" i="2"/>
  <c r="R247" i="2"/>
  <c r="AH247" i="2"/>
  <c r="AG247" i="2"/>
  <c r="AF247" i="2"/>
  <c r="BJ247" i="2"/>
  <c r="AY246" i="2"/>
  <c r="C246" i="3" s="1"/>
  <c r="AX246" i="2"/>
  <c r="B246" i="3" s="1"/>
  <c r="BA246" i="2"/>
  <c r="E246" i="3" s="1"/>
  <c r="AZ246" i="2"/>
  <c r="D246" i="3" s="1"/>
  <c r="I247" i="2"/>
  <c r="B247" i="2"/>
  <c r="J247" i="2"/>
  <c r="C247" i="2"/>
  <c r="A248" i="2"/>
  <c r="D247" i="2"/>
  <c r="E247" i="2"/>
  <c r="F247" i="2"/>
  <c r="G247" i="2"/>
  <c r="H247" i="2"/>
  <c r="AD248" i="2" l="1"/>
  <c r="AW248" i="2" s="1"/>
  <c r="A248" i="3" s="1"/>
  <c r="S248" i="2"/>
  <c r="BK248" i="2"/>
  <c r="R248" i="2"/>
  <c r="BJ248" i="2"/>
  <c r="AG248" i="2"/>
  <c r="AF248" i="2"/>
  <c r="AH248" i="2"/>
  <c r="AE248" i="2"/>
  <c r="BA247" i="2"/>
  <c r="E247" i="3" s="1"/>
  <c r="AZ247" i="2"/>
  <c r="D247" i="3" s="1"/>
  <c r="AY247" i="2"/>
  <c r="C247" i="3" s="1"/>
  <c r="AX247" i="2"/>
  <c r="B247" i="3" s="1"/>
  <c r="G248" i="2"/>
  <c r="H248" i="2"/>
  <c r="I248" i="2"/>
  <c r="B248" i="2"/>
  <c r="J248" i="2"/>
  <c r="C248" i="2"/>
  <c r="A249" i="2"/>
  <c r="D248" i="2"/>
  <c r="E248" i="2"/>
  <c r="F248" i="2"/>
  <c r="S249" i="2" l="1"/>
  <c r="BK249" i="2"/>
  <c r="R249" i="2"/>
  <c r="BJ249" i="2"/>
  <c r="AH249" i="2"/>
  <c r="AF249" i="2"/>
  <c r="AE249" i="2"/>
  <c r="AG249" i="2"/>
  <c r="AD249" i="2"/>
  <c r="AW249" i="2" s="1"/>
  <c r="A249" i="3" s="1"/>
  <c r="P33" i="2"/>
  <c r="BA248" i="2"/>
  <c r="E248" i="3" s="1"/>
  <c r="AZ248" i="2"/>
  <c r="D248" i="3" s="1"/>
  <c r="AY248" i="2"/>
  <c r="C248" i="3" s="1"/>
  <c r="AX248" i="2"/>
  <c r="B248" i="3" s="1"/>
  <c r="E249" i="2"/>
  <c r="F249" i="2"/>
  <c r="G249" i="2"/>
  <c r="H249" i="2"/>
  <c r="I249" i="2"/>
  <c r="B249" i="2"/>
  <c r="J249" i="2"/>
  <c r="C249" i="2"/>
  <c r="D249" i="2"/>
  <c r="P28" i="2" l="1"/>
  <c r="O28" i="2"/>
  <c r="O29" i="2"/>
  <c r="O30" i="2" s="1"/>
  <c r="P29" i="2"/>
  <c r="P30" i="2" s="1"/>
  <c r="AY249" i="2"/>
  <c r="C249" i="3" s="1"/>
  <c r="AX249" i="2"/>
  <c r="B249" i="3" s="1"/>
  <c r="BA249" i="2"/>
  <c r="E249" i="3" s="1"/>
  <c r="AZ249" i="2"/>
  <c r="D249" i="3" s="1"/>
  <c r="R4" i="2" l="1"/>
  <c r="R12" i="2"/>
  <c r="R20" i="2"/>
  <c r="R28" i="2"/>
  <c r="R36" i="2"/>
  <c r="R44" i="2"/>
  <c r="R53" i="2"/>
  <c r="R62" i="2"/>
  <c r="R69" i="2"/>
  <c r="R77" i="2"/>
  <c r="R85" i="2"/>
  <c r="R93" i="2"/>
  <c r="R97" i="2"/>
  <c r="R16" i="2"/>
  <c r="R40" i="2"/>
  <c r="R65" i="2"/>
  <c r="R89" i="2"/>
  <c r="R5" i="2"/>
  <c r="R13" i="2"/>
  <c r="R21" i="2"/>
  <c r="R29" i="2"/>
  <c r="R37" i="2"/>
  <c r="R45" i="2"/>
  <c r="R54" i="2"/>
  <c r="R61" i="2"/>
  <c r="R70" i="2"/>
  <c r="R78" i="2"/>
  <c r="R86" i="2"/>
  <c r="R94" i="2"/>
  <c r="R6" i="2"/>
  <c r="R14" i="2"/>
  <c r="R22" i="2"/>
  <c r="R31" i="2"/>
  <c r="R38" i="2"/>
  <c r="R46" i="2"/>
  <c r="R55" i="2"/>
  <c r="R63" i="2"/>
  <c r="R71" i="2"/>
  <c r="R79" i="2"/>
  <c r="R87" i="2"/>
  <c r="R95" i="2"/>
  <c r="R8" i="2"/>
  <c r="R57" i="2"/>
  <c r="R81" i="2"/>
  <c r="R7" i="2"/>
  <c r="R15" i="2"/>
  <c r="R23" i="2"/>
  <c r="R30" i="2"/>
  <c r="R39" i="2"/>
  <c r="R47" i="2"/>
  <c r="R56" i="2"/>
  <c r="R64" i="2"/>
  <c r="R72" i="2"/>
  <c r="R80" i="2"/>
  <c r="R88" i="2"/>
  <c r="R96" i="2"/>
  <c r="R24" i="2"/>
  <c r="R33" i="2"/>
  <c r="R48" i="2"/>
  <c r="R73" i="2"/>
  <c r="R51" i="2"/>
  <c r="R9" i="2"/>
  <c r="R17" i="2"/>
  <c r="R25" i="2"/>
  <c r="R32" i="2"/>
  <c r="R41" i="2"/>
  <c r="R49" i="2"/>
  <c r="R58" i="2"/>
  <c r="R66" i="2"/>
  <c r="R74" i="2"/>
  <c r="R82" i="2"/>
  <c r="R90" i="2"/>
  <c r="R3" i="2"/>
  <c r="R19" i="2"/>
  <c r="R35" i="2"/>
  <c r="R52" i="2"/>
  <c r="R68" i="2"/>
  <c r="R92" i="2"/>
  <c r="R2" i="2"/>
  <c r="R10" i="2"/>
  <c r="R18" i="2"/>
  <c r="R26" i="2"/>
  <c r="R34" i="2"/>
  <c r="R42" i="2"/>
  <c r="R50" i="2"/>
  <c r="R59" i="2"/>
  <c r="R67" i="2"/>
  <c r="R75" i="2"/>
  <c r="R83" i="2"/>
  <c r="R91" i="2"/>
  <c r="R11" i="2"/>
  <c r="R27" i="2"/>
  <c r="R43" i="2"/>
  <c r="R60" i="2"/>
  <c r="R76" i="2"/>
  <c r="R84" i="2"/>
  <c r="S97" i="2"/>
  <c r="S6" i="2"/>
  <c r="S14" i="2"/>
  <c r="S22" i="2"/>
  <c r="S30" i="2"/>
  <c r="S38" i="2"/>
  <c r="S46" i="2"/>
  <c r="S55" i="2"/>
  <c r="S63" i="2"/>
  <c r="S71" i="2"/>
  <c r="S78" i="2"/>
  <c r="S87" i="2"/>
  <c r="S95" i="2"/>
  <c r="S10" i="2"/>
  <c r="S35" i="2"/>
  <c r="S67" i="2"/>
  <c r="S91" i="2"/>
  <c r="S7" i="2"/>
  <c r="S15" i="2"/>
  <c r="S23" i="2"/>
  <c r="S31" i="2"/>
  <c r="S39" i="2"/>
  <c r="S47" i="2"/>
  <c r="S54" i="2"/>
  <c r="S64" i="2"/>
  <c r="S72" i="2"/>
  <c r="S80" i="2"/>
  <c r="S88" i="2"/>
  <c r="S96" i="2"/>
  <c r="S89" i="2"/>
  <c r="S58" i="2"/>
  <c r="S8" i="2"/>
  <c r="S16" i="2"/>
  <c r="S24" i="2"/>
  <c r="S32" i="2"/>
  <c r="S40" i="2"/>
  <c r="S48" i="2"/>
  <c r="S56" i="2"/>
  <c r="S65" i="2"/>
  <c r="S73" i="2"/>
  <c r="S81" i="2"/>
  <c r="S18" i="2"/>
  <c r="S42" i="2"/>
  <c r="S75" i="2"/>
  <c r="S61" i="2"/>
  <c r="S9" i="2"/>
  <c r="S17" i="2"/>
  <c r="S25" i="2"/>
  <c r="S33" i="2"/>
  <c r="S41" i="2"/>
  <c r="S49" i="2"/>
  <c r="S57" i="2"/>
  <c r="S66" i="2"/>
  <c r="S74" i="2"/>
  <c r="S82" i="2"/>
  <c r="S90" i="2"/>
  <c r="S3" i="2"/>
  <c r="S26" i="2"/>
  <c r="S50" i="2"/>
  <c r="S83" i="2"/>
  <c r="S94" i="2"/>
  <c r="S2" i="2"/>
  <c r="S11" i="2"/>
  <c r="S19" i="2"/>
  <c r="S27" i="2"/>
  <c r="S34" i="2"/>
  <c r="S43" i="2"/>
  <c r="S51" i="2"/>
  <c r="S59" i="2"/>
  <c r="S68" i="2"/>
  <c r="S76" i="2"/>
  <c r="S84" i="2"/>
  <c r="S92" i="2"/>
  <c r="S5" i="2"/>
  <c r="S21" i="2"/>
  <c r="S37" i="2"/>
  <c r="S52" i="2"/>
  <c r="S70" i="2"/>
  <c r="S86" i="2"/>
  <c r="S4" i="2"/>
  <c r="S12" i="2"/>
  <c r="S20" i="2"/>
  <c r="S29" i="2"/>
  <c r="S36" i="2"/>
  <c r="S44" i="2"/>
  <c r="S53" i="2"/>
  <c r="S60" i="2"/>
  <c r="S69" i="2"/>
  <c r="S77" i="2"/>
  <c r="S85" i="2"/>
  <c r="S93" i="2"/>
  <c r="S13" i="2"/>
  <c r="S28" i="2"/>
  <c r="S45" i="2"/>
  <c r="S62" i="2"/>
  <c r="S79" i="2"/>
  <c r="X8" i="2" l="1"/>
  <c r="AA8" i="2" s="1"/>
  <c r="V8" i="2"/>
  <c r="Z8" i="2" s="1"/>
  <c r="V5" i="2"/>
  <c r="Z5" i="2" s="1"/>
  <c r="X7" i="2"/>
  <c r="AA7" i="2" s="1"/>
  <c r="X3" i="2"/>
  <c r="AA3" i="2" s="1"/>
  <c r="V6" i="2"/>
  <c r="Z6" i="2" s="1"/>
  <c r="X4" i="2"/>
  <c r="X6" i="2"/>
  <c r="AA6" i="2" s="1"/>
  <c r="X5" i="2"/>
  <c r="AA5" i="2" s="1"/>
  <c r="V7" i="2"/>
  <c r="Z7" i="2" s="1"/>
  <c r="V4" i="2"/>
  <c r="Z4" i="2" s="1"/>
  <c r="X2" i="2"/>
  <c r="V2" i="2"/>
  <c r="V3" i="2"/>
  <c r="Z3" i="2" s="1"/>
  <c r="V22" i="2" l="1"/>
  <c r="W19" i="2"/>
  <c r="V21" i="2"/>
  <c r="V23" i="2"/>
  <c r="W24" i="2"/>
  <c r="W28" i="2" s="1"/>
  <c r="W25" i="2"/>
  <c r="W30" i="2" s="1"/>
  <c r="Z2" i="2"/>
  <c r="V19" i="2"/>
  <c r="W21" i="2"/>
  <c r="W27" i="2" s="1"/>
  <c r="X21" i="2"/>
  <c r="X23" i="2"/>
  <c r="X22" i="2"/>
  <c r="AA4" i="2"/>
  <c r="X24" i="2" s="1"/>
  <c r="X19" i="2"/>
  <c r="X25" i="2"/>
  <c r="Y24" i="2"/>
  <c r="Y28" i="2" s="1"/>
  <c r="Z23" i="2"/>
  <c r="Y25" i="2"/>
  <c r="Y21" i="2"/>
  <c r="Z22" i="2"/>
  <c r="Y19" i="2"/>
  <c r="Z19" i="2"/>
  <c r="AA2" i="2"/>
  <c r="Z52" i="2" s="1"/>
  <c r="Z21" i="2"/>
  <c r="X27" i="2" l="1"/>
  <c r="Z27" i="2"/>
  <c r="V24" i="2"/>
  <c r="V14" i="2"/>
  <c r="V49" i="2"/>
  <c r="V20" i="2"/>
  <c r="Z55" i="2"/>
  <c r="Z50" i="2"/>
  <c r="V50" i="2"/>
  <c r="X55" i="2"/>
  <c r="V52" i="2"/>
  <c r="W23" i="2"/>
  <c r="W31" i="2" s="1"/>
  <c r="V31" i="2"/>
  <c r="Z29" i="2"/>
  <c r="V55" i="2"/>
  <c r="V51" i="2"/>
  <c r="V27" i="2"/>
  <c r="Y23" i="2"/>
  <c r="Y31" i="2" s="1"/>
  <c r="X31" i="2"/>
  <c r="Y27" i="2"/>
  <c r="Z53" i="2"/>
  <c r="V25" i="2"/>
  <c r="Y22" i="2"/>
  <c r="Y29" i="2" s="1"/>
  <c r="X29" i="2"/>
  <c r="X50" i="2"/>
  <c r="Z14" i="2"/>
  <c r="Z49" i="2"/>
  <c r="X49" i="2"/>
  <c r="X14" i="2"/>
  <c r="Z20" i="2"/>
  <c r="Y30" i="2"/>
  <c r="Y33" i="2" s="1"/>
  <c r="Y10" i="2" s="1"/>
  <c r="V54" i="2"/>
  <c r="X53" i="2"/>
  <c r="X52" i="2"/>
  <c r="V29" i="2"/>
  <c r="W22" i="2"/>
  <c r="W29" i="2" s="1"/>
  <c r="W33" i="2" s="1"/>
  <c r="W10" i="2" s="1"/>
  <c r="X54" i="2"/>
  <c r="Z25" i="2"/>
  <c r="Z30" i="2" s="1"/>
  <c r="Z54" i="2"/>
  <c r="Z24" i="2"/>
  <c r="Z28" i="2" s="1"/>
  <c r="Z31" i="2"/>
  <c r="X20" i="2"/>
  <c r="Z51" i="2"/>
  <c r="X51" i="2"/>
  <c r="V53" i="2"/>
  <c r="W34" i="2" l="1"/>
  <c r="W11" i="2" s="1"/>
  <c r="Y34" i="2"/>
  <c r="Y35" i="2"/>
  <c r="Y12" i="2" s="1"/>
  <c r="AH20" i="2" s="1"/>
  <c r="Y11" i="2"/>
  <c r="Y41" i="2" s="1"/>
  <c r="X30" i="2"/>
  <c r="Z34" i="2"/>
  <c r="Z11" i="2" s="1"/>
  <c r="Z33" i="2"/>
  <c r="Z10" i="2" s="1"/>
  <c r="Y45" i="2"/>
  <c r="AH10" i="2"/>
  <c r="AH13" i="2"/>
  <c r="AH94" i="2"/>
  <c r="AH72" i="2"/>
  <c r="AH6" i="2"/>
  <c r="AH77" i="2"/>
  <c r="AH65" i="2"/>
  <c r="AH66" i="2"/>
  <c r="AH31" i="2"/>
  <c r="AH16" i="2"/>
  <c r="AH68" i="2"/>
  <c r="AH9" i="2"/>
  <c r="AH8" i="2"/>
  <c r="AH28" i="2"/>
  <c r="AH78" i="2"/>
  <c r="AH3" i="2"/>
  <c r="AH64" i="2"/>
  <c r="AH87" i="2"/>
  <c r="AH90" i="2"/>
  <c r="AH93" i="2"/>
  <c r="AH18" i="2"/>
  <c r="AH51" i="2"/>
  <c r="AH49" i="2"/>
  <c r="AH73" i="2"/>
  <c r="AH24" i="2"/>
  <c r="AH54" i="2"/>
  <c r="AH27" i="2"/>
  <c r="AH47" i="2"/>
  <c r="AH97" i="2"/>
  <c r="AH25" i="2"/>
  <c r="AH76" i="2"/>
  <c r="AH56" i="2"/>
  <c r="AH38" i="2"/>
  <c r="AH58" i="2"/>
  <c r="AH30" i="2"/>
  <c r="AH36" i="2"/>
  <c r="AH57" i="2"/>
  <c r="AH23" i="2"/>
  <c r="AH43" i="2"/>
  <c r="AH32" i="2"/>
  <c r="AH14" i="2"/>
  <c r="AH41" i="2"/>
  <c r="AH12" i="2"/>
  <c r="AH75" i="2"/>
  <c r="AH80" i="2"/>
  <c r="AH5" i="2"/>
  <c r="AH44" i="2"/>
  <c r="AH34" i="2"/>
  <c r="AH45" i="2"/>
  <c r="AH2" i="2"/>
  <c r="AH62" i="2"/>
  <c r="AH59" i="2"/>
  <c r="AH95" i="2"/>
  <c r="AH33" i="2"/>
  <c r="AH91" i="2"/>
  <c r="AH55" i="2"/>
  <c r="AH37" i="2"/>
  <c r="AH50" i="2"/>
  <c r="AH82" i="2"/>
  <c r="AH7" i="2"/>
  <c r="AH19" i="2"/>
  <c r="AH92" i="2"/>
  <c r="AH15" i="2"/>
  <c r="AH46" i="2"/>
  <c r="AH74" i="2"/>
  <c r="AH89" i="2"/>
  <c r="AH67" i="2"/>
  <c r="AH11" i="2"/>
  <c r="AH61" i="2"/>
  <c r="AH71" i="2"/>
  <c r="AH81" i="2"/>
  <c r="AH63" i="2"/>
  <c r="AH35" i="2"/>
  <c r="AH53" i="2"/>
  <c r="AH39" i="2"/>
  <c r="AH84" i="2"/>
  <c r="AH40" i="2"/>
  <c r="AH22" i="2"/>
  <c r="AH70" i="2"/>
  <c r="V28" i="2"/>
  <c r="Z35" i="2"/>
  <c r="Z12" i="2" s="1"/>
  <c r="V30" i="2"/>
  <c r="X28" i="2"/>
  <c r="V34" i="2" l="1"/>
  <c r="V11" i="2" s="1"/>
  <c r="AH60" i="2"/>
  <c r="AH17" i="2"/>
  <c r="AH88" i="2"/>
  <c r="Y46" i="2"/>
  <c r="X33" i="2"/>
  <c r="X10" i="2" s="1"/>
  <c r="AH83" i="2"/>
  <c r="Y42" i="2"/>
  <c r="AH79" i="2"/>
  <c r="AH4" i="2"/>
  <c r="AH29" i="2"/>
  <c r="AH26" i="2"/>
  <c r="AH48" i="2"/>
  <c r="Y40" i="2"/>
  <c r="W35" i="2"/>
  <c r="W12" i="2" s="1"/>
  <c r="W44" i="2" s="1"/>
  <c r="AH52" i="2"/>
  <c r="AH85" i="2"/>
  <c r="AH86" i="2"/>
  <c r="Y43" i="2"/>
  <c r="Y44" i="2"/>
  <c r="AH42" i="2"/>
  <c r="AH69" i="2"/>
  <c r="AH96" i="2"/>
  <c r="AH21" i="2"/>
  <c r="AG44" i="2"/>
  <c r="AG18" i="2"/>
  <c r="AO24" i="2"/>
  <c r="AF16" i="2"/>
  <c r="AF97" i="2"/>
  <c r="AM26" i="2" s="1"/>
  <c r="AF45" i="2"/>
  <c r="AF59" i="2"/>
  <c r="AF33" i="2"/>
  <c r="AF84" i="2"/>
  <c r="AF22" i="2"/>
  <c r="AF73" i="2"/>
  <c r="AF26" i="2"/>
  <c r="AF17" i="2"/>
  <c r="AF96" i="2"/>
  <c r="AL45" i="2" s="1"/>
  <c r="AN45" i="2" s="1"/>
  <c r="AF77" i="2"/>
  <c r="AF67" i="2"/>
  <c r="AF29" i="2"/>
  <c r="AF24" i="2"/>
  <c r="AF54" i="2"/>
  <c r="AF3" i="2"/>
  <c r="AF91" i="2"/>
  <c r="AL41" i="2" s="1"/>
  <c r="AN41" i="2" s="1"/>
  <c r="AF11" i="2"/>
  <c r="AF35" i="2"/>
  <c r="AF34" i="2"/>
  <c r="AF27" i="2"/>
  <c r="AF41" i="2"/>
  <c r="AF12" i="2"/>
  <c r="AF2" i="2"/>
  <c r="AF62" i="2"/>
  <c r="AF39" i="2"/>
  <c r="AF40" i="2"/>
  <c r="AF15" i="2"/>
  <c r="AF79" i="2"/>
  <c r="AF5" i="2"/>
  <c r="AF18" i="2"/>
  <c r="AF19" i="2"/>
  <c r="AF44" i="2"/>
  <c r="AF92" i="2"/>
  <c r="AL42" i="2" s="1"/>
  <c r="AN42" i="2" s="1"/>
  <c r="AF61" i="2"/>
  <c r="AF71" i="2"/>
  <c r="AF81" i="2"/>
  <c r="AF51" i="2"/>
  <c r="AF49" i="2"/>
  <c r="AF46" i="2"/>
  <c r="AF55" i="2"/>
  <c r="AF23" i="2"/>
  <c r="AF25" i="2"/>
  <c r="AM23" i="2" s="1"/>
  <c r="AF13" i="2"/>
  <c r="Z46" i="2"/>
  <c r="Z44" i="2"/>
  <c r="AF42" i="2"/>
  <c r="Z41" i="2"/>
  <c r="AF57" i="2"/>
  <c r="AF68" i="2"/>
  <c r="AF48" i="2"/>
  <c r="AF37" i="2"/>
  <c r="AM24" i="2" s="1"/>
  <c r="AF50" i="2"/>
  <c r="AF87" i="2"/>
  <c r="AF85" i="2"/>
  <c r="AM28" i="2" s="1"/>
  <c r="AF86" i="2"/>
  <c r="AF58" i="2"/>
  <c r="AF47" i="2"/>
  <c r="AF83" i="2"/>
  <c r="AF30" i="2"/>
  <c r="AF94" i="2"/>
  <c r="AL44" i="2" s="1"/>
  <c r="AN44" i="2" s="1"/>
  <c r="AF10" i="2"/>
  <c r="AM22" i="2" s="1"/>
  <c r="AF31" i="2"/>
  <c r="Z45" i="2"/>
  <c r="Z43" i="2"/>
  <c r="AF14" i="2"/>
  <c r="AF43" i="2"/>
  <c r="AF88" i="2"/>
  <c r="AF93" i="2"/>
  <c r="AL43" i="2" s="1"/>
  <c r="AN43" i="2" s="1"/>
  <c r="AF28" i="2"/>
  <c r="AF80" i="2"/>
  <c r="AF32" i="2"/>
  <c r="AF38" i="2"/>
  <c r="AF20" i="2"/>
  <c r="AF21" i="2"/>
  <c r="AF76" i="2"/>
  <c r="Z42" i="2"/>
  <c r="Z40" i="2"/>
  <c r="AG95" i="2"/>
  <c r="AG68" i="2"/>
  <c r="AG88" i="2"/>
  <c r="AG61" i="2"/>
  <c r="AG97" i="2"/>
  <c r="AG5" i="2"/>
  <c r="AG83" i="2"/>
  <c r="AG42" i="2"/>
  <c r="AG11" i="2"/>
  <c r="AG73" i="2"/>
  <c r="AG22" i="2"/>
  <c r="AG35" i="2"/>
  <c r="W40" i="2"/>
  <c r="AO25" i="2"/>
  <c r="AK107" i="2"/>
  <c r="AG8" i="2"/>
  <c r="AG78" i="2"/>
  <c r="AG90" i="2"/>
  <c r="AG96" i="2"/>
  <c r="AG66" i="2"/>
  <c r="AG56" i="2"/>
  <c r="AG50" i="2"/>
  <c r="AG79" i="2"/>
  <c r="AG71" i="2"/>
  <c r="AG27" i="2"/>
  <c r="AG26" i="2"/>
  <c r="AG63" i="2"/>
  <c r="W41" i="2"/>
  <c r="AG24" i="2"/>
  <c r="AG57" i="2"/>
  <c r="AG6" i="2"/>
  <c r="AG12" i="2"/>
  <c r="AG67" i="2"/>
  <c r="AG86" i="2"/>
  <c r="AO23" i="2"/>
  <c r="AG13" i="2"/>
  <c r="AG93" i="2"/>
  <c r="AG23" i="2"/>
  <c r="AG70" i="2"/>
  <c r="AG64" i="2"/>
  <c r="AG3" i="2"/>
  <c r="AG38" i="2"/>
  <c r="AG58" i="2"/>
  <c r="AG31" i="2"/>
  <c r="AG53" i="2"/>
  <c r="AG51" i="2"/>
  <c r="AG37" i="2"/>
  <c r="W45" i="2"/>
  <c r="AG45" i="2"/>
  <c r="AG54" i="2"/>
  <c r="AG65" i="2"/>
  <c r="AG87" i="2"/>
  <c r="AG7" i="2"/>
  <c r="AG17" i="2"/>
  <c r="AG81" i="2"/>
  <c r="W42" i="2"/>
  <c r="AK109" i="2"/>
  <c r="AO26" i="2"/>
  <c r="AG55" i="2"/>
  <c r="AG52" i="2"/>
  <c r="AG19" i="2"/>
  <c r="AG33" i="2"/>
  <c r="AG75" i="2"/>
  <c r="AG94" i="2"/>
  <c r="AG91" i="2"/>
  <c r="AG59" i="2"/>
  <c r="AG32" i="2"/>
  <c r="AG34" i="2"/>
  <c r="AG4" i="2"/>
  <c r="AG80" i="2"/>
  <c r="W46" i="2"/>
  <c r="AO22" i="2"/>
  <c r="AG46" i="2"/>
  <c r="AG10" i="2"/>
  <c r="AG82" i="2"/>
  <c r="Y13" i="2"/>
  <c r="AG9" i="2"/>
  <c r="AG76" i="2"/>
  <c r="AG36" i="2"/>
  <c r="AG62" i="2"/>
  <c r="AG16" i="2"/>
  <c r="AG47" i="2"/>
  <c r="AG49" i="2"/>
  <c r="AG69" i="2"/>
  <c r="AG77" i="2"/>
  <c r="AG40" i="2"/>
  <c r="AG84" i="2"/>
  <c r="AG92" i="2"/>
  <c r="W43" i="2"/>
  <c r="AK106" i="2"/>
  <c r="AG14" i="2"/>
  <c r="AG28" i="2"/>
  <c r="AG48" i="2"/>
  <c r="AG21" i="2"/>
  <c r="AG15" i="2"/>
  <c r="X34" i="2"/>
  <c r="V33" i="2"/>
  <c r="V10" i="2" s="1"/>
  <c r="AG25" i="2"/>
  <c r="AG60" i="2"/>
  <c r="AG39" i="2"/>
  <c r="AG20" i="2"/>
  <c r="AG74" i="2"/>
  <c r="AG30" i="2"/>
  <c r="AG43" i="2"/>
  <c r="AG89" i="2"/>
  <c r="AG85" i="2"/>
  <c r="AG29" i="2"/>
  <c r="AG41" i="2"/>
  <c r="AG2" i="2"/>
  <c r="E6" i="4" l="1"/>
  <c r="F6" i="4" s="1"/>
  <c r="I18" i="3"/>
  <c r="AG72" i="2"/>
  <c r="AT114" i="2"/>
  <c r="AT109" i="2"/>
  <c r="AS105" i="2"/>
  <c r="AT125" i="2"/>
  <c r="AS106" i="2"/>
  <c r="AT105" i="2"/>
  <c r="AT106" i="2"/>
  <c r="AK120" i="2"/>
  <c r="AK119" i="2"/>
  <c r="AS109" i="2"/>
  <c r="AN25" i="2"/>
  <c r="AN24" i="2"/>
  <c r="AT115" i="2"/>
  <c r="AT126" i="2"/>
  <c r="AN117" i="2"/>
  <c r="AK75" i="2"/>
  <c r="AM27" i="2"/>
  <c r="AM25" i="2"/>
  <c r="AK73" i="2"/>
  <c r="Z13" i="2"/>
  <c r="AN23" i="2"/>
  <c r="V35" i="2"/>
  <c r="V12" i="2" s="1"/>
  <c r="AE2" i="2" s="1"/>
  <c r="X11" i="2"/>
  <c r="X35" i="2"/>
  <c r="X12" i="2" s="1"/>
  <c r="AL47" i="2"/>
  <c r="AN47" i="2" s="1"/>
  <c r="AK72" i="2"/>
  <c r="AT128" i="2"/>
  <c r="AT117" i="2"/>
  <c r="W13" i="2"/>
  <c r="AN26" i="2"/>
  <c r="AN22" i="2"/>
  <c r="AE29" i="2" l="1"/>
  <c r="AE68" i="2"/>
  <c r="AE67" i="2"/>
  <c r="AE90" i="2"/>
  <c r="AL4" i="2" s="1"/>
  <c r="AN4" i="2" s="1"/>
  <c r="AE80" i="2"/>
  <c r="E5" i="4"/>
  <c r="F5" i="4" s="1"/>
  <c r="I17" i="3"/>
  <c r="AE4" i="2"/>
  <c r="AE97" i="2"/>
  <c r="AL26" i="2" s="1"/>
  <c r="V41" i="2"/>
  <c r="AE13" i="2"/>
  <c r="AE6" i="2"/>
  <c r="AE84" i="2"/>
  <c r="AN116" i="2"/>
  <c r="AO116" i="2" s="1"/>
  <c r="AE26" i="2"/>
  <c r="AE86" i="2"/>
  <c r="AE11" i="2"/>
  <c r="AE95" i="2"/>
  <c r="AL12" i="2" s="1"/>
  <c r="AN12" i="2" s="1"/>
  <c r="AE91" i="2"/>
  <c r="AL5" i="2" s="1"/>
  <c r="AN5" i="2" s="1"/>
  <c r="AE5" i="2"/>
  <c r="AE61" i="2"/>
  <c r="AE21" i="2"/>
  <c r="AE36" i="2"/>
  <c r="AE38" i="2"/>
  <c r="AE37" i="2"/>
  <c r="AL24" i="2" s="1"/>
  <c r="AE48" i="2"/>
  <c r="AE73" i="2"/>
  <c r="AL25" i="2" s="1"/>
  <c r="AF8" i="2"/>
  <c r="V45" i="2"/>
  <c r="AE45" i="2"/>
  <c r="AE81" i="2"/>
  <c r="AE7" i="2"/>
  <c r="AE49" i="2"/>
  <c r="AE34" i="2"/>
  <c r="AE96" i="2"/>
  <c r="AL9" i="2" s="1"/>
  <c r="AN9" i="2" s="1"/>
  <c r="AE64" i="2"/>
  <c r="AE25" i="2"/>
  <c r="AL23" i="2" s="1"/>
  <c r="AE41" i="2"/>
  <c r="AE92" i="2"/>
  <c r="AL6" i="2" s="1"/>
  <c r="AN6" i="2" s="1"/>
  <c r="AE31" i="2"/>
  <c r="AE27" i="2"/>
  <c r="AT76" i="2"/>
  <c r="AS72" i="2"/>
  <c r="AT95" i="2"/>
  <c r="AT72" i="2"/>
  <c r="AO83" i="2" s="1"/>
  <c r="L17" i="3" s="1"/>
  <c r="E17" i="4" s="1"/>
  <c r="F17" i="4" s="1"/>
  <c r="AS76" i="2"/>
  <c r="AK87" i="2"/>
  <c r="AT81" i="2"/>
  <c r="AK88" i="2"/>
  <c r="AS73" i="2"/>
  <c r="AT73" i="2"/>
  <c r="AE59" i="2"/>
  <c r="AF52" i="2"/>
  <c r="AF78" i="2"/>
  <c r="AF75" i="2"/>
  <c r="X42" i="2"/>
  <c r="AF9" i="2"/>
  <c r="AF36" i="2"/>
  <c r="AF89" i="2"/>
  <c r="AL49" i="2" s="1"/>
  <c r="AN49" i="2" s="1"/>
  <c r="AF7" i="2"/>
  <c r="X45" i="2"/>
  <c r="X43" i="2"/>
  <c r="AF82" i="2"/>
  <c r="AF60" i="2"/>
  <c r="AF90" i="2"/>
  <c r="AL40" i="2" s="1"/>
  <c r="AN40" i="2" s="1"/>
  <c r="X44" i="2"/>
  <c r="AF70" i="2"/>
  <c r="AF4" i="2"/>
  <c r="AF63" i="2"/>
  <c r="AF66" i="2"/>
  <c r="X46" i="2"/>
  <c r="AF69" i="2"/>
  <c r="AF72" i="2"/>
  <c r="AF64" i="2"/>
  <c r="X41" i="2"/>
  <c r="X40" i="2"/>
  <c r="AF6" i="2"/>
  <c r="AF74" i="2"/>
  <c r="AF95" i="2"/>
  <c r="AL48" i="2" s="1"/>
  <c r="AN48" i="2" s="1"/>
  <c r="AF56" i="2"/>
  <c r="AF65" i="2"/>
  <c r="AF53" i="2"/>
  <c r="AE51" i="2"/>
  <c r="AE42" i="2"/>
  <c r="AE75" i="2"/>
  <c r="V44" i="2"/>
  <c r="AE89" i="2"/>
  <c r="AL14" i="2" s="1"/>
  <c r="AN14" i="2" s="1"/>
  <c r="AE30" i="2"/>
  <c r="AE52" i="2"/>
  <c r="AE71" i="2"/>
  <c r="AE78" i="2"/>
  <c r="AE33" i="2"/>
  <c r="AE16" i="2"/>
  <c r="AE70" i="2"/>
  <c r="AE35" i="2"/>
  <c r="AE82" i="2"/>
  <c r="AE77" i="2"/>
  <c r="AE23" i="2"/>
  <c r="AT96" i="2"/>
  <c r="AT82" i="2"/>
  <c r="V46" i="2"/>
  <c r="AE58" i="2"/>
  <c r="AE12" i="2"/>
  <c r="AE10" i="2"/>
  <c r="AL22" i="2" s="1"/>
  <c r="AE32" i="2"/>
  <c r="V42" i="2"/>
  <c r="AE39" i="2"/>
  <c r="AE44" i="2"/>
  <c r="AE24" i="2"/>
  <c r="AE17" i="2"/>
  <c r="AE66" i="2"/>
  <c r="AE62" i="2"/>
  <c r="AE15" i="2"/>
  <c r="AE76" i="2"/>
  <c r="AE63" i="2"/>
  <c r="AE65" i="2"/>
  <c r="AE8" i="2"/>
  <c r="AE79" i="2"/>
  <c r="AE94" i="2"/>
  <c r="AL8" i="2" s="1"/>
  <c r="AN8" i="2" s="1"/>
  <c r="AE22" i="2"/>
  <c r="AE9" i="2"/>
  <c r="AE18" i="2"/>
  <c r="AE69" i="2"/>
  <c r="AE93" i="2"/>
  <c r="AL7" i="2" s="1"/>
  <c r="AN7" i="2" s="1"/>
  <c r="AE20" i="2"/>
  <c r="AE74" i="2"/>
  <c r="AE60" i="2"/>
  <c r="AE43" i="2"/>
  <c r="AE19" i="2"/>
  <c r="AE85" i="2"/>
  <c r="AL28" i="2" s="1"/>
  <c r="V43" i="2"/>
  <c r="AO117" i="2"/>
  <c r="AP117" i="2" s="1"/>
  <c r="AE88" i="2"/>
  <c r="AE87" i="2"/>
  <c r="AE72" i="2"/>
  <c r="AE40" i="2"/>
  <c r="AT84" i="2"/>
  <c r="AT98" i="2"/>
  <c r="V40" i="2"/>
  <c r="AE28" i="2"/>
  <c r="AE47" i="2"/>
  <c r="AE3" i="2"/>
  <c r="AE50" i="2"/>
  <c r="AE55" i="2"/>
  <c r="AE14" i="2"/>
  <c r="AE46" i="2"/>
  <c r="AE53" i="2"/>
  <c r="AE83" i="2"/>
  <c r="AE54" i="2"/>
  <c r="AE56" i="2"/>
  <c r="AE57" i="2"/>
  <c r="AP116" i="2" l="1"/>
  <c r="L18" i="3"/>
  <c r="E18" i="4" s="1"/>
  <c r="F18" i="4" s="1"/>
  <c r="AN50" i="2"/>
  <c r="AL11" i="2"/>
  <c r="AN11" i="2" s="1"/>
  <c r="AN16" i="2" s="1"/>
  <c r="AO14" i="2" s="1"/>
  <c r="AO45" i="2"/>
  <c r="AO41" i="2"/>
  <c r="AO43" i="2"/>
  <c r="AO40" i="2"/>
  <c r="AO47" i="2"/>
  <c r="AO48" i="2"/>
  <c r="AO42" i="2"/>
  <c r="AO49" i="2"/>
  <c r="AO44" i="2"/>
  <c r="AO84" i="2"/>
  <c r="AS98" i="2" s="1"/>
  <c r="AN83" i="2"/>
  <c r="AO4" i="2"/>
  <c r="AO6" i="2"/>
  <c r="AO12" i="2"/>
  <c r="AO5" i="2"/>
  <c r="X13" i="2"/>
  <c r="AN84" i="2"/>
  <c r="V13" i="2"/>
  <c r="AQ117" i="2"/>
  <c r="AS125" i="2"/>
  <c r="AS117" i="2"/>
  <c r="AS114" i="2"/>
  <c r="AS128" i="2"/>
  <c r="AS115" i="2"/>
  <c r="AS126" i="2"/>
  <c r="AS96" i="2" l="1"/>
  <c r="AO8" i="2"/>
  <c r="E3" i="4"/>
  <c r="F3" i="4" s="1"/>
  <c r="I15" i="3"/>
  <c r="AO11" i="2"/>
  <c r="AP84" i="2"/>
  <c r="AO9" i="2"/>
  <c r="I16" i="3"/>
  <c r="E4" i="4"/>
  <c r="F4" i="4" s="1"/>
  <c r="AO7" i="2"/>
  <c r="AT16" i="2" s="1"/>
  <c r="AT8" i="2"/>
  <c r="AO17" i="2" s="1"/>
  <c r="L15" i="3" s="1"/>
  <c r="E15" i="4" s="1"/>
  <c r="F15" i="4" s="1"/>
  <c r="AT5" i="2"/>
  <c r="AT51" i="2"/>
  <c r="AT57" i="2"/>
  <c r="AT30" i="2"/>
  <c r="AT56" i="2"/>
  <c r="AT17" i="2"/>
  <c r="AT31" i="2"/>
  <c r="AT49" i="2"/>
  <c r="AS40" i="2"/>
  <c r="AS44" i="2"/>
  <c r="AS41" i="2"/>
  <c r="AT18" i="2"/>
  <c r="AT32" i="2"/>
  <c r="AT14" i="2"/>
  <c r="AT28" i="2"/>
  <c r="AQ84" i="2"/>
  <c r="AP83" i="2"/>
  <c r="AS84" i="2"/>
  <c r="AS82" i="2"/>
  <c r="AS81" i="2"/>
  <c r="AT52" i="2"/>
  <c r="AT35" i="2"/>
  <c r="AT21" i="2"/>
  <c r="AT50" i="2"/>
  <c r="AS8" i="2"/>
  <c r="AT27" i="2"/>
  <c r="AS5" i="2"/>
  <c r="AS4" i="2"/>
  <c r="AT13" i="2"/>
  <c r="BA65" i="2"/>
  <c r="E65" i="3" s="1"/>
  <c r="BA82" i="2"/>
  <c r="E82" i="3" s="1"/>
  <c r="BA21" i="2"/>
  <c r="E21" i="3" s="1"/>
  <c r="BA53" i="2"/>
  <c r="E53" i="3" s="1"/>
  <c r="BA43" i="2"/>
  <c r="E43" i="3" s="1"/>
  <c r="BA58" i="2"/>
  <c r="E58" i="3" s="1"/>
  <c r="BA57" i="2"/>
  <c r="E57" i="3" s="1"/>
  <c r="BA11" i="2"/>
  <c r="E11" i="3" s="1"/>
  <c r="BA27" i="2"/>
  <c r="E27" i="3" s="1"/>
  <c r="BA55" i="2"/>
  <c r="E55" i="3" s="1"/>
  <c r="BA89" i="2"/>
  <c r="E89" i="3" s="1"/>
  <c r="BA61" i="2"/>
  <c r="E61" i="3" s="1"/>
  <c r="BA88" i="2"/>
  <c r="E88" i="3" s="1"/>
  <c r="BA13" i="2"/>
  <c r="E13" i="3" s="1"/>
  <c r="BA60" i="2"/>
  <c r="E60" i="3" s="1"/>
  <c r="BA85" i="2"/>
  <c r="E85" i="3" s="1"/>
  <c r="BA31" i="2"/>
  <c r="E31" i="3" s="1"/>
  <c r="BA15" i="2"/>
  <c r="E15" i="3" s="1"/>
  <c r="BA20" i="2"/>
  <c r="E20" i="3" s="1"/>
  <c r="BA76" i="2"/>
  <c r="E76" i="3" s="1"/>
  <c r="BA75" i="2"/>
  <c r="E75" i="3" s="1"/>
  <c r="BA29" i="2"/>
  <c r="E29" i="3" s="1"/>
  <c r="BA91" i="2"/>
  <c r="E91" i="3" s="1"/>
  <c r="BA50" i="2"/>
  <c r="E50" i="3" s="1"/>
  <c r="BA69" i="2"/>
  <c r="E69" i="3" s="1"/>
  <c r="BA14" i="2"/>
  <c r="E14" i="3" s="1"/>
  <c r="BA94" i="2"/>
  <c r="E94" i="3" s="1"/>
  <c r="BA40" i="2"/>
  <c r="E40" i="3" s="1"/>
  <c r="BA7" i="2"/>
  <c r="E7" i="3" s="1"/>
  <c r="BA97" i="2"/>
  <c r="E97" i="3" s="1"/>
  <c r="BA66" i="2"/>
  <c r="E66" i="3" s="1"/>
  <c r="BA48" i="2"/>
  <c r="E48" i="3" s="1"/>
  <c r="BA19" i="2"/>
  <c r="E19" i="3" s="1"/>
  <c r="BA77" i="2"/>
  <c r="E77" i="3" s="1"/>
  <c r="BA18" i="2"/>
  <c r="E18" i="3" s="1"/>
  <c r="BA79" i="2"/>
  <c r="E79" i="3" s="1"/>
  <c r="BA52" i="2"/>
  <c r="E52" i="3" s="1"/>
  <c r="BA84" i="2"/>
  <c r="E84" i="3" s="1"/>
  <c r="BA39" i="2"/>
  <c r="E39" i="3" s="1"/>
  <c r="BA74" i="2"/>
  <c r="E74" i="3" s="1"/>
  <c r="BA54" i="2"/>
  <c r="E54" i="3" s="1"/>
  <c r="BA70" i="2"/>
  <c r="E70" i="3" s="1"/>
  <c r="BA93" i="2"/>
  <c r="E93" i="3" s="1"/>
  <c r="BA33" i="2"/>
  <c r="E33" i="3" s="1"/>
  <c r="BA83" i="2"/>
  <c r="E83" i="3" s="1"/>
  <c r="BA80" i="2"/>
  <c r="E80" i="3" s="1"/>
  <c r="BA59" i="2"/>
  <c r="E59" i="3" s="1"/>
  <c r="BA45" i="2"/>
  <c r="E45" i="3" s="1"/>
  <c r="BA32" i="2"/>
  <c r="E32" i="3" s="1"/>
  <c r="BA9" i="2"/>
  <c r="E9" i="3" s="1"/>
  <c r="BA28" i="2"/>
  <c r="E28" i="3" s="1"/>
  <c r="BA10" i="2"/>
  <c r="E10" i="3" s="1"/>
  <c r="BA36" i="2"/>
  <c r="E36" i="3" s="1"/>
  <c r="BA62" i="2"/>
  <c r="E62" i="3" s="1"/>
  <c r="BA73" i="2"/>
  <c r="E73" i="3" s="1"/>
  <c r="BA4" i="2"/>
  <c r="E4" i="3" s="1"/>
  <c r="BA63" i="2"/>
  <c r="E63" i="3" s="1"/>
  <c r="BA30" i="2"/>
  <c r="E30" i="3" s="1"/>
  <c r="BA8" i="2"/>
  <c r="E8" i="3" s="1"/>
  <c r="BA22" i="2"/>
  <c r="E22" i="3" s="1"/>
  <c r="BA34" i="2"/>
  <c r="E34" i="3" s="1"/>
  <c r="BA6" i="2"/>
  <c r="E6" i="3" s="1"/>
  <c r="BA92" i="2"/>
  <c r="E92" i="3" s="1"/>
  <c r="BA24" i="2"/>
  <c r="E24" i="3" s="1"/>
  <c r="BA56" i="2"/>
  <c r="E56" i="3" s="1"/>
  <c r="BA42" i="2"/>
  <c r="E42" i="3" s="1"/>
  <c r="BA26" i="2"/>
  <c r="E26" i="3" s="1"/>
  <c r="BA3" i="2"/>
  <c r="E3" i="3" s="1"/>
  <c r="BA86" i="2"/>
  <c r="E86" i="3" s="1"/>
  <c r="BA35" i="2"/>
  <c r="E35" i="3" s="1"/>
  <c r="BA12" i="2"/>
  <c r="E12" i="3" s="1"/>
  <c r="BA64" i="2"/>
  <c r="E64" i="3" s="1"/>
  <c r="BA46" i="2"/>
  <c r="E46" i="3" s="1"/>
  <c r="BA49" i="2"/>
  <c r="E49" i="3" s="1"/>
  <c r="BA51" i="2"/>
  <c r="E51" i="3" s="1"/>
  <c r="BA96" i="2"/>
  <c r="E96" i="3" s="1"/>
  <c r="BA81" i="2"/>
  <c r="E81" i="3" s="1"/>
  <c r="BA95" i="2"/>
  <c r="E95" i="3" s="1"/>
  <c r="BA67" i="2"/>
  <c r="E67" i="3" s="1"/>
  <c r="BA72" i="2"/>
  <c r="E72" i="3" s="1"/>
  <c r="BA87" i="2"/>
  <c r="E87" i="3" s="1"/>
  <c r="BA17" i="2"/>
  <c r="E17" i="3" s="1"/>
  <c r="BA47" i="2"/>
  <c r="E47" i="3" s="1"/>
  <c r="BA90" i="2"/>
  <c r="E90" i="3" s="1"/>
  <c r="BA5" i="2"/>
  <c r="E5" i="3" s="1"/>
  <c r="BA78" i="2"/>
  <c r="E78" i="3" s="1"/>
  <c r="BA23" i="2"/>
  <c r="E23" i="3" s="1"/>
  <c r="BA37" i="2"/>
  <c r="E37" i="3" s="1"/>
  <c r="BA38" i="2"/>
  <c r="E38" i="3" s="1"/>
  <c r="BA16" i="2"/>
  <c r="E16" i="3" s="1"/>
  <c r="BA41" i="2"/>
  <c r="E41" i="3" s="1"/>
  <c r="BA68" i="2"/>
  <c r="E68" i="3" s="1"/>
  <c r="BA71" i="2"/>
  <c r="E71" i="3" s="1"/>
  <c r="BA25" i="2"/>
  <c r="E25" i="3" s="1"/>
  <c r="BA44" i="2"/>
  <c r="E44" i="3" s="1"/>
  <c r="AT20" i="2"/>
  <c r="AT34" i="2"/>
  <c r="AS95" i="2"/>
  <c r="AO85" i="2" s="1"/>
  <c r="AT53" i="2"/>
  <c r="AT54" i="2"/>
  <c r="AN118" i="2"/>
  <c r="AT29" i="2"/>
  <c r="AT15" i="2"/>
  <c r="AT58" i="2"/>
  <c r="AO118" i="2" l="1"/>
  <c r="M18" i="3"/>
  <c r="E10" i="4"/>
  <c r="F10" i="4" s="1"/>
  <c r="AO18" i="2"/>
  <c r="M17" i="3"/>
  <c r="E9" i="4"/>
  <c r="F9" i="4" s="1"/>
  <c r="AN51" i="2"/>
  <c r="L16" i="3" s="1"/>
  <c r="E16" i="4" s="1"/>
  <c r="F16" i="4" s="1"/>
  <c r="AN85" i="2"/>
  <c r="AN17" i="2"/>
  <c r="BH29" i="2"/>
  <c r="L8" i="3" s="1"/>
  <c r="E14" i="4" s="1"/>
  <c r="F14" i="4" s="1"/>
  <c r="BH13" i="2"/>
  <c r="L7" i="3" s="1"/>
  <c r="AN18" i="2"/>
  <c r="AZ28" i="2"/>
  <c r="D28" i="3" s="1"/>
  <c r="AZ72" i="2"/>
  <c r="D72" i="3" s="1"/>
  <c r="AZ73" i="2"/>
  <c r="D73" i="3" s="1"/>
  <c r="AZ56" i="2"/>
  <c r="D56" i="3" s="1"/>
  <c r="AZ23" i="2"/>
  <c r="D23" i="3" s="1"/>
  <c r="AZ17" i="2"/>
  <c r="D17" i="3" s="1"/>
  <c r="AZ83" i="2"/>
  <c r="D83" i="3" s="1"/>
  <c r="AZ85" i="2"/>
  <c r="D85" i="3" s="1"/>
  <c r="AZ54" i="2"/>
  <c r="D54" i="3" s="1"/>
  <c r="AZ18" i="2"/>
  <c r="D18" i="3" s="1"/>
  <c r="AZ89" i="2"/>
  <c r="D89" i="3" s="1"/>
  <c r="AZ57" i="2"/>
  <c r="D57" i="3" s="1"/>
  <c r="AZ74" i="2"/>
  <c r="D74" i="3" s="1"/>
  <c r="AZ77" i="2"/>
  <c r="D77" i="3" s="1"/>
  <c r="AZ61" i="2"/>
  <c r="D61" i="3" s="1"/>
  <c r="AZ81" i="2"/>
  <c r="D81" i="3" s="1"/>
  <c r="AZ11" i="2"/>
  <c r="D11" i="3" s="1"/>
  <c r="AZ7" i="2"/>
  <c r="D7" i="3" s="1"/>
  <c r="AZ30" i="2"/>
  <c r="D30" i="3" s="1"/>
  <c r="AZ68" i="2"/>
  <c r="D68" i="3" s="1"/>
  <c r="AZ47" i="2"/>
  <c r="D47" i="3" s="1"/>
  <c r="AZ95" i="2"/>
  <c r="D95" i="3" s="1"/>
  <c r="AZ66" i="2"/>
  <c r="D66" i="3" s="1"/>
  <c r="AZ65" i="2"/>
  <c r="D65" i="3" s="1"/>
  <c r="AZ69" i="2"/>
  <c r="D69" i="3" s="1"/>
  <c r="AZ31" i="2"/>
  <c r="D31" i="3" s="1"/>
  <c r="AZ80" i="2"/>
  <c r="D80" i="3" s="1"/>
  <c r="AZ48" i="2"/>
  <c r="D48" i="3" s="1"/>
  <c r="AZ27" i="2"/>
  <c r="D27" i="3" s="1"/>
  <c r="AZ9" i="2"/>
  <c r="D9" i="3" s="1"/>
  <c r="AZ33" i="2"/>
  <c r="D33" i="3" s="1"/>
  <c r="AZ26" i="2"/>
  <c r="D26" i="3" s="1"/>
  <c r="AZ41" i="2"/>
  <c r="D41" i="3" s="1"/>
  <c r="AZ58" i="2"/>
  <c r="D58" i="3" s="1"/>
  <c r="AZ8" i="2"/>
  <c r="D8" i="3" s="1"/>
  <c r="AZ70" i="2"/>
  <c r="D70" i="3" s="1"/>
  <c r="AZ43" i="2"/>
  <c r="D43" i="3" s="1"/>
  <c r="AZ20" i="2"/>
  <c r="D20" i="3" s="1"/>
  <c r="AZ46" i="2"/>
  <c r="D46" i="3" s="1"/>
  <c r="AZ29" i="2"/>
  <c r="D29" i="3" s="1"/>
  <c r="AZ53" i="2"/>
  <c r="D53" i="3" s="1"/>
  <c r="AZ3" i="2"/>
  <c r="D3" i="3" s="1"/>
  <c r="AZ25" i="2"/>
  <c r="D25" i="3" s="1"/>
  <c r="AZ13" i="2"/>
  <c r="D13" i="3" s="1"/>
  <c r="AZ22" i="2"/>
  <c r="D22" i="3" s="1"/>
  <c r="AZ14" i="2"/>
  <c r="D14" i="3" s="1"/>
  <c r="AZ78" i="2"/>
  <c r="D78" i="3" s="1"/>
  <c r="AZ10" i="2"/>
  <c r="D10" i="3" s="1"/>
  <c r="AZ75" i="2"/>
  <c r="D75" i="3" s="1"/>
  <c r="AZ79" i="2"/>
  <c r="D79" i="3" s="1"/>
  <c r="AZ67" i="2"/>
  <c r="D67" i="3" s="1"/>
  <c r="AZ84" i="2"/>
  <c r="D84" i="3" s="1"/>
  <c r="AZ87" i="2"/>
  <c r="D87" i="3" s="1"/>
  <c r="AZ37" i="2"/>
  <c r="D37" i="3" s="1"/>
  <c r="AZ59" i="2"/>
  <c r="D59" i="3" s="1"/>
  <c r="AZ34" i="2"/>
  <c r="D34" i="3" s="1"/>
  <c r="AZ60" i="2"/>
  <c r="D60" i="3" s="1"/>
  <c r="AZ93" i="2"/>
  <c r="D93" i="3" s="1"/>
  <c r="AZ19" i="2"/>
  <c r="D19" i="3" s="1"/>
  <c r="AZ21" i="2"/>
  <c r="D21" i="3" s="1"/>
  <c r="AZ12" i="2"/>
  <c r="D12" i="3" s="1"/>
  <c r="AZ4" i="2"/>
  <c r="D4" i="3" s="1"/>
  <c r="AZ40" i="2"/>
  <c r="D40" i="3" s="1"/>
  <c r="AZ39" i="2"/>
  <c r="D39" i="3" s="1"/>
  <c r="AZ38" i="2"/>
  <c r="D38" i="3" s="1"/>
  <c r="AZ52" i="2"/>
  <c r="D52" i="3" s="1"/>
  <c r="AZ15" i="2"/>
  <c r="D15" i="3" s="1"/>
  <c r="AZ50" i="2"/>
  <c r="D50" i="3" s="1"/>
  <c r="AZ76" i="2"/>
  <c r="D76" i="3" s="1"/>
  <c r="AZ24" i="2"/>
  <c r="D24" i="3" s="1"/>
  <c r="AZ91" i="2"/>
  <c r="D91" i="3" s="1"/>
  <c r="AZ55" i="2"/>
  <c r="D55" i="3" s="1"/>
  <c r="AZ5" i="2"/>
  <c r="D5" i="3" s="1"/>
  <c r="AZ6" i="2"/>
  <c r="D6" i="3" s="1"/>
  <c r="AZ49" i="2"/>
  <c r="D49" i="3" s="1"/>
  <c r="AZ88" i="2"/>
  <c r="D88" i="3" s="1"/>
  <c r="AZ92" i="2"/>
  <c r="D92" i="3" s="1"/>
  <c r="AZ63" i="2"/>
  <c r="D63" i="3" s="1"/>
  <c r="AZ16" i="2"/>
  <c r="D16" i="3" s="1"/>
  <c r="AZ36" i="2"/>
  <c r="D36" i="3" s="1"/>
  <c r="AZ90" i="2"/>
  <c r="D90" i="3" s="1"/>
  <c r="AZ82" i="2"/>
  <c r="D82" i="3" s="1"/>
  <c r="AZ45" i="2"/>
  <c r="D45" i="3" s="1"/>
  <c r="AZ97" i="2"/>
  <c r="D97" i="3" s="1"/>
  <c r="AZ86" i="2"/>
  <c r="D86" i="3" s="1"/>
  <c r="AZ71" i="2"/>
  <c r="D71" i="3" s="1"/>
  <c r="AZ64" i="2"/>
  <c r="D64" i="3" s="1"/>
  <c r="AZ62" i="2"/>
  <c r="D62" i="3" s="1"/>
  <c r="AZ32" i="2"/>
  <c r="D32" i="3" s="1"/>
  <c r="AZ51" i="2"/>
  <c r="D51" i="3" s="1"/>
  <c r="AZ44" i="2"/>
  <c r="D44" i="3" s="1"/>
  <c r="AZ42" i="2"/>
  <c r="D42" i="3" s="1"/>
  <c r="AZ96" i="2"/>
  <c r="D96" i="3" s="1"/>
  <c r="AZ94" i="2"/>
  <c r="D94" i="3" s="1"/>
  <c r="AZ35" i="2"/>
  <c r="D35" i="3" s="1"/>
  <c r="AS32" i="2"/>
  <c r="AN52" i="2"/>
  <c r="AS51" i="2"/>
  <c r="AS52" i="2" l="1"/>
  <c r="AY42" i="2"/>
  <c r="C42" i="3" s="1"/>
  <c r="AS58" i="2"/>
  <c r="AP17" i="2"/>
  <c r="AS15" i="2"/>
  <c r="AS20" i="2"/>
  <c r="AS13" i="2"/>
  <c r="AS16" i="2"/>
  <c r="AS21" i="2"/>
  <c r="AS17" i="2"/>
  <c r="AS18" i="2"/>
  <c r="AS56" i="2"/>
  <c r="AS34" i="2"/>
  <c r="AS29" i="2"/>
  <c r="AS31" i="2"/>
  <c r="AS35" i="2"/>
  <c r="AS30" i="2"/>
  <c r="AS27" i="2"/>
  <c r="AS49" i="2"/>
  <c r="BG29" i="2"/>
  <c r="K8" i="3" s="1"/>
  <c r="E13" i="4" s="1"/>
  <c r="F13" i="4" s="1"/>
  <c r="BG13" i="2"/>
  <c r="K7" i="3" s="1"/>
  <c r="AS14" i="2"/>
  <c r="AP18" i="2"/>
  <c r="AQ18" i="2" s="1"/>
  <c r="AQ15" i="2" s="1"/>
  <c r="AX73" i="2" s="1"/>
  <c r="B73" i="3" s="1"/>
  <c r="AX28" i="2"/>
  <c r="B28" i="3" s="1"/>
  <c r="AX82" i="2"/>
  <c r="B82" i="3" s="1"/>
  <c r="AX48" i="2"/>
  <c r="B48" i="3" s="1"/>
  <c r="AX14" i="2"/>
  <c r="B14" i="3" s="1"/>
  <c r="AX65" i="2"/>
  <c r="B65" i="3" s="1"/>
  <c r="AX21" i="2"/>
  <c r="B21" i="3" s="1"/>
  <c r="AX75" i="2"/>
  <c r="B75" i="3" s="1"/>
  <c r="AX4" i="2"/>
  <c r="B4" i="3" s="1"/>
  <c r="AX60" i="2"/>
  <c r="B60" i="3" s="1"/>
  <c r="AX81" i="2"/>
  <c r="B81" i="3" s="1"/>
  <c r="AX15" i="2"/>
  <c r="B15" i="3" s="1"/>
  <c r="AX90" i="2"/>
  <c r="B90" i="3" s="1"/>
  <c r="AX45" i="2"/>
  <c r="B45" i="3" s="1"/>
  <c r="AX18" i="2"/>
  <c r="B18" i="3" s="1"/>
  <c r="AX26" i="2"/>
  <c r="B26" i="3" s="1"/>
  <c r="AX36" i="2"/>
  <c r="B36" i="3" s="1"/>
  <c r="AX8" i="2"/>
  <c r="B8" i="3" s="1"/>
  <c r="AX74" i="2"/>
  <c r="B74" i="3" s="1"/>
  <c r="AX27" i="2"/>
  <c r="B27" i="3" s="1"/>
  <c r="AX30" i="2"/>
  <c r="B30" i="3" s="1"/>
  <c r="AX79" i="2"/>
  <c r="B79" i="3" s="1"/>
  <c r="AX53" i="2"/>
  <c r="B53" i="3" s="1"/>
  <c r="AX71" i="2"/>
  <c r="B71" i="3" s="1"/>
  <c r="AX55" i="2"/>
  <c r="B55" i="3" s="1"/>
  <c r="AX70" i="2"/>
  <c r="B70" i="3" s="1"/>
  <c r="AX59" i="2"/>
  <c r="B59" i="3" s="1"/>
  <c r="AX68" i="2"/>
  <c r="B68" i="3" s="1"/>
  <c r="AX61" i="2"/>
  <c r="B61" i="3" s="1"/>
  <c r="AX23" i="2"/>
  <c r="B23" i="3" s="1"/>
  <c r="AX35" i="2"/>
  <c r="B35" i="3" s="1"/>
  <c r="AX51" i="2"/>
  <c r="B51" i="3" s="1"/>
  <c r="AX92" i="2"/>
  <c r="B92" i="3" s="1"/>
  <c r="AX58" i="2"/>
  <c r="B58" i="3" s="1"/>
  <c r="AX93" i="2"/>
  <c r="B93" i="3" s="1"/>
  <c r="AX62" i="2"/>
  <c r="B62" i="3" s="1"/>
  <c r="AX41" i="2"/>
  <c r="B41" i="3" s="1"/>
  <c r="AX34" i="2"/>
  <c r="B34" i="3" s="1"/>
  <c r="AX88" i="2"/>
  <c r="B88" i="3" s="1"/>
  <c r="AX49" i="2"/>
  <c r="B49" i="3" s="1"/>
  <c r="AX6" i="2"/>
  <c r="B6" i="3" s="1"/>
  <c r="AX5" i="2"/>
  <c r="B5" i="3" s="1"/>
  <c r="AX97" i="2"/>
  <c r="B97" i="3" s="1"/>
  <c r="AX94" i="2"/>
  <c r="B94" i="3" s="1"/>
  <c r="AX31" i="2"/>
  <c r="B31" i="3" s="1"/>
  <c r="AX19" i="2"/>
  <c r="B19" i="3" s="1"/>
  <c r="AS50" i="2"/>
  <c r="AS53" i="2"/>
  <c r="AS57" i="2"/>
  <c r="AY10" i="2"/>
  <c r="C10" i="3" s="1"/>
  <c r="AY51" i="2"/>
  <c r="C51" i="3" s="1"/>
  <c r="AY80" i="2"/>
  <c r="C80" i="3" s="1"/>
  <c r="AY21" i="2"/>
  <c r="C21" i="3" s="1"/>
  <c r="AY60" i="2"/>
  <c r="C60" i="3" s="1"/>
  <c r="AY47" i="2"/>
  <c r="C47" i="3" s="1"/>
  <c r="AY11" i="2"/>
  <c r="C11" i="3" s="1"/>
  <c r="AY3" i="2"/>
  <c r="C3" i="3" s="1"/>
  <c r="AY76" i="2"/>
  <c r="C76" i="3" s="1"/>
  <c r="AY78" i="2"/>
  <c r="C78" i="3" s="1"/>
  <c r="AY52" i="2"/>
  <c r="C52" i="3" s="1"/>
  <c r="AY38" i="2"/>
  <c r="C38" i="3" s="1"/>
  <c r="AY8" i="2"/>
  <c r="C8" i="3" s="1"/>
  <c r="AY16" i="2"/>
  <c r="C16" i="3" s="1"/>
  <c r="AY90" i="2"/>
  <c r="C90" i="3" s="1"/>
  <c r="AY30" i="2"/>
  <c r="C30" i="3" s="1"/>
  <c r="AY26" i="2"/>
  <c r="C26" i="3" s="1"/>
  <c r="AY92" i="2"/>
  <c r="C92" i="3" s="1"/>
  <c r="AY37" i="2"/>
  <c r="C37" i="3" s="1"/>
  <c r="AY73" i="2"/>
  <c r="C73" i="3" s="1"/>
  <c r="AY69" i="2"/>
  <c r="C69" i="3" s="1"/>
  <c r="AY31" i="2"/>
  <c r="C31" i="3" s="1"/>
  <c r="AY53" i="2"/>
  <c r="C53" i="3" s="1"/>
  <c r="AY97" i="2"/>
  <c r="C97" i="3" s="1"/>
  <c r="AY20" i="2"/>
  <c r="C20" i="3" s="1"/>
  <c r="AY34" i="2"/>
  <c r="C34" i="3" s="1"/>
  <c r="AY70" i="2"/>
  <c r="C70" i="3" s="1"/>
  <c r="AY9" i="2"/>
  <c r="C9" i="3" s="1"/>
  <c r="AY72" i="2"/>
  <c r="C72" i="3" s="1"/>
  <c r="AY32" i="2"/>
  <c r="C32" i="3" s="1"/>
  <c r="AY91" i="2"/>
  <c r="C91" i="3" s="1"/>
  <c r="AY6" i="2"/>
  <c r="C6" i="3" s="1"/>
  <c r="AY40" i="2"/>
  <c r="C40" i="3" s="1"/>
  <c r="AV9" i="2"/>
  <c r="AY85" i="2"/>
  <c r="C85" i="3" s="1"/>
  <c r="AY45" i="2"/>
  <c r="C45" i="3" s="1"/>
  <c r="AY56" i="2"/>
  <c r="C56" i="3" s="1"/>
  <c r="AY22" i="2"/>
  <c r="C22" i="3" s="1"/>
  <c r="AY75" i="2"/>
  <c r="C75" i="3" s="1"/>
  <c r="AY84" i="2"/>
  <c r="C84" i="3" s="1"/>
  <c r="AY36" i="2"/>
  <c r="C36" i="3" s="1"/>
  <c r="AY19" i="2"/>
  <c r="C19" i="3" s="1"/>
  <c r="AY68" i="2"/>
  <c r="C68" i="3" s="1"/>
  <c r="AY43" i="2"/>
  <c r="C43" i="3" s="1"/>
  <c r="AY41" i="2"/>
  <c r="C41" i="3" s="1"/>
  <c r="AY94" i="2"/>
  <c r="C94" i="3" s="1"/>
  <c r="AY88" i="2"/>
  <c r="C88" i="3" s="1"/>
  <c r="AY5" i="2"/>
  <c r="C5" i="3" s="1"/>
  <c r="AY62" i="2"/>
  <c r="C62" i="3" s="1"/>
  <c r="AY65" i="2"/>
  <c r="C65" i="3" s="1"/>
  <c r="AY17" i="2"/>
  <c r="C17" i="3" s="1"/>
  <c r="AY46" i="2"/>
  <c r="C46" i="3" s="1"/>
  <c r="AY48" i="2"/>
  <c r="C48" i="3" s="1"/>
  <c r="AY14" i="2"/>
  <c r="C14" i="3" s="1"/>
  <c r="AY33" i="2"/>
  <c r="C33" i="3" s="1"/>
  <c r="AY86" i="2"/>
  <c r="C86" i="3" s="1"/>
  <c r="AY54" i="2"/>
  <c r="C54" i="3" s="1"/>
  <c r="AY61" i="2"/>
  <c r="C61" i="3" s="1"/>
  <c r="AY87" i="2"/>
  <c r="C87" i="3" s="1"/>
  <c r="AY28" i="2"/>
  <c r="C28" i="3" s="1"/>
  <c r="AY71" i="2"/>
  <c r="C71" i="3" s="1"/>
  <c r="AY77" i="2"/>
  <c r="C77" i="3" s="1"/>
  <c r="AY13" i="2"/>
  <c r="C13" i="3" s="1"/>
  <c r="AY81" i="2"/>
  <c r="C81" i="3" s="1"/>
  <c r="AY39" i="2"/>
  <c r="C39" i="3" s="1"/>
  <c r="AY67" i="2"/>
  <c r="C67" i="3" s="1"/>
  <c r="AY89" i="2"/>
  <c r="C89" i="3" s="1"/>
  <c r="AY59" i="2"/>
  <c r="C59" i="3" s="1"/>
  <c r="AY25" i="2"/>
  <c r="C25" i="3" s="1"/>
  <c r="AY55" i="2"/>
  <c r="C55" i="3" s="1"/>
  <c r="AY4" i="2"/>
  <c r="C4" i="3" s="1"/>
  <c r="AY63" i="2"/>
  <c r="C63" i="3" s="1"/>
  <c r="AY64" i="2"/>
  <c r="C64" i="3" s="1"/>
  <c r="AY29" i="2"/>
  <c r="C29" i="3" s="1"/>
  <c r="AY44" i="2"/>
  <c r="C44" i="3" s="1"/>
  <c r="AY24" i="2"/>
  <c r="C24" i="3" s="1"/>
  <c r="AY18" i="2"/>
  <c r="C18" i="3" s="1"/>
  <c r="AY83" i="2"/>
  <c r="C83" i="3" s="1"/>
  <c r="AY7" i="2"/>
  <c r="C7" i="3" s="1"/>
  <c r="AY50" i="2"/>
  <c r="C50" i="3" s="1"/>
  <c r="AY96" i="2"/>
  <c r="C96" i="3" s="1"/>
  <c r="AY23" i="2"/>
  <c r="C23" i="3" s="1"/>
  <c r="AY58" i="2"/>
  <c r="C58" i="3" s="1"/>
  <c r="AY15" i="2"/>
  <c r="C15" i="3" s="1"/>
  <c r="AY93" i="2"/>
  <c r="C93" i="3" s="1"/>
  <c r="AY57" i="2"/>
  <c r="C57" i="3" s="1"/>
  <c r="AY82" i="2"/>
  <c r="C82" i="3" s="1"/>
  <c r="AY27" i="2"/>
  <c r="C27" i="3" s="1"/>
  <c r="AY49" i="2"/>
  <c r="C49" i="3" s="1"/>
  <c r="AY12" i="2"/>
  <c r="C12" i="3" s="1"/>
  <c r="AY66" i="2"/>
  <c r="C66" i="3" s="1"/>
  <c r="AY74" i="2"/>
  <c r="C74" i="3" s="1"/>
  <c r="AY79" i="2"/>
  <c r="C79" i="3" s="1"/>
  <c r="AY35" i="2"/>
  <c r="C35" i="3" s="1"/>
  <c r="AY95" i="2"/>
  <c r="C95" i="3" s="1"/>
  <c r="AS54" i="2"/>
  <c r="AS28" i="2"/>
  <c r="AX64" i="2" l="1"/>
  <c r="B64" i="3" s="1"/>
  <c r="AX76" i="2"/>
  <c r="B76" i="3" s="1"/>
  <c r="AX20" i="2"/>
  <c r="B20" i="3" s="1"/>
  <c r="AX47" i="2"/>
  <c r="B47" i="3" s="1"/>
  <c r="AX66" i="2"/>
  <c r="B66" i="3" s="1"/>
  <c r="AX83" i="2"/>
  <c r="B83" i="3" s="1"/>
  <c r="AX16" i="2"/>
  <c r="B16" i="3" s="1"/>
  <c r="AX52" i="2"/>
  <c r="B52" i="3" s="1"/>
  <c r="AX13" i="2"/>
  <c r="B13" i="3" s="1"/>
  <c r="AX95" i="2"/>
  <c r="B95" i="3" s="1"/>
  <c r="AX37" i="2"/>
  <c r="B37" i="3" s="1"/>
  <c r="AX78" i="2"/>
  <c r="B78" i="3" s="1"/>
  <c r="AX87" i="2"/>
  <c r="B87" i="3" s="1"/>
  <c r="AX85" i="2"/>
  <c r="B85" i="3" s="1"/>
  <c r="AX89" i="2"/>
  <c r="B89" i="3" s="1"/>
  <c r="AX96" i="2"/>
  <c r="B96" i="3" s="1"/>
  <c r="AX72" i="2"/>
  <c r="B72" i="3" s="1"/>
  <c r="AX77" i="2"/>
  <c r="B77" i="3" s="1"/>
  <c r="AX44" i="2"/>
  <c r="B44" i="3" s="1"/>
  <c r="AX32" i="2"/>
  <c r="B32" i="3" s="1"/>
  <c r="AN53" i="2"/>
  <c r="AN19" i="2"/>
  <c r="AX33" i="2"/>
  <c r="B33" i="3" s="1"/>
  <c r="AX80" i="2"/>
  <c r="B80" i="3" s="1"/>
  <c r="AX43" i="2"/>
  <c r="B43" i="3" s="1"/>
  <c r="AX46" i="2"/>
  <c r="B46" i="3" s="1"/>
  <c r="AX10" i="2"/>
  <c r="B10" i="3" s="1"/>
  <c r="AX24" i="2"/>
  <c r="B24" i="3" s="1"/>
  <c r="AX9" i="2"/>
  <c r="B9" i="3" s="1"/>
  <c r="AX29" i="2"/>
  <c r="B29" i="3" s="1"/>
  <c r="AX42" i="2"/>
  <c r="B42" i="3" s="1"/>
  <c r="AX50" i="2"/>
  <c r="B50" i="3" s="1"/>
  <c r="AX7" i="2"/>
  <c r="B7" i="3" s="1"/>
  <c r="AX69" i="2"/>
  <c r="B69" i="3" s="1"/>
  <c r="AX38" i="2"/>
  <c r="B38" i="3" s="1"/>
  <c r="AX17" i="2"/>
  <c r="B17" i="3" s="1"/>
  <c r="AX11" i="2"/>
  <c r="B11" i="3" s="1"/>
  <c r="AX91" i="2"/>
  <c r="B91" i="3" s="1"/>
  <c r="AX39" i="2"/>
  <c r="B39" i="3" s="1"/>
  <c r="AX40" i="2"/>
  <c r="B40" i="3" s="1"/>
  <c r="AX12" i="2"/>
  <c r="B12" i="3" s="1"/>
  <c r="AX67" i="2"/>
  <c r="B67" i="3" s="1"/>
  <c r="AX54" i="2"/>
  <c r="B54" i="3" s="1"/>
  <c r="AX86" i="2"/>
  <c r="B86" i="3" s="1"/>
  <c r="AX63" i="2"/>
  <c r="B63" i="3" s="1"/>
  <c r="AX84" i="2"/>
  <c r="B84" i="3" s="1"/>
  <c r="AX56" i="2"/>
  <c r="B56" i="3" s="1"/>
  <c r="AO19" i="2"/>
  <c r="AX3" i="2"/>
  <c r="B3" i="3" s="1"/>
  <c r="AX25" i="2"/>
  <c r="AX22" i="2"/>
  <c r="B22" i="3" s="1"/>
  <c r="BF29" i="2"/>
  <c r="J8" i="3" s="1"/>
  <c r="J9" i="3" s="1"/>
  <c r="E12" i="4" s="1"/>
  <c r="F12" i="4" s="1"/>
  <c r="BF13" i="2"/>
  <c r="J7" i="3" s="1"/>
  <c r="AX57" i="2"/>
  <c r="B57" i="3" s="1"/>
  <c r="E7" i="4" l="1"/>
  <c r="F7" i="4" s="1"/>
  <c r="M15" i="3"/>
  <c r="E8" i="4"/>
  <c r="F8" i="4" s="1"/>
  <c r="M16" i="3"/>
  <c r="BE13" i="2"/>
  <c r="I7" i="3" s="1"/>
  <c r="B25" i="3"/>
  <c r="BE29" i="2"/>
  <c r="I8" i="3" s="1"/>
  <c r="I9" i="3" s="1"/>
  <c r="E11" i="4" s="1"/>
  <c r="F11" i="4" s="1"/>
</calcChain>
</file>

<file path=xl/sharedStrings.xml><?xml version="1.0" encoding="utf-8"?>
<sst xmlns="http://schemas.openxmlformats.org/spreadsheetml/2006/main" count="900" uniqueCount="273">
  <si>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</si>
  <si>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</si>
  <si>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</si>
  <si>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</si>
  <si>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</si>
  <si>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</si>
  <si>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</si>
  <si>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</si>
  <si>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</si>
  <si>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</si>
  <si>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</si>
  <si>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</si>
  <si>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</si>
  <si>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</si>
  <si>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</si>
  <si>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</si>
  <si>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</si>
  <si>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</si>
  <si>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</si>
  <si>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</si>
  <si>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ALU1 15-25</t>
  </si>
  <si>
    <t>ALU1 25+</t>
  </si>
  <si>
    <t>ALU2 15-25</t>
  </si>
  <si>
    <t>ALU3 15+</t>
  </si>
  <si>
    <t>ALU4 15+</t>
  </si>
  <si>
    <t>ALT1 15-25</t>
  </si>
  <si>
    <t>ALT1 25+</t>
  </si>
  <si>
    <t>ALT2 15-25</t>
  </si>
  <si>
    <t>ALT2 25+</t>
  </si>
  <si>
    <t>ALT3 15-25</t>
  </si>
  <si>
    <t>ALT3 25+</t>
  </si>
  <si>
    <t>ALT4 15-25</t>
  </si>
  <si>
    <t>ALT4 25+</t>
  </si>
  <si>
    <t>ALS1 15-25</t>
  </si>
  <si>
    <t>BRS2</t>
  </si>
  <si>
    <t>ALS2 15-25</t>
  </si>
  <si>
    <t>ALS2 25+</t>
  </si>
  <si>
    <t>ALS3 15-25</t>
  </si>
  <si>
    <t>ALS3 25+</t>
  </si>
  <si>
    <t>ALS4 15-25</t>
  </si>
  <si>
    <t>ALS4 25+</t>
  </si>
  <si>
    <t>HEU5 15-25</t>
  </si>
  <si>
    <t>HEU5 25+</t>
  </si>
  <si>
    <t>HEU6 15-25</t>
  </si>
  <si>
    <t>HEU7 15-25</t>
  </si>
  <si>
    <t>HEU8 15-25</t>
  </si>
  <si>
    <t>BRS3</t>
  </si>
  <si>
    <t>HEU8 25+</t>
  </si>
  <si>
    <t>HET5 15-25</t>
  </si>
  <si>
    <t>HET5 25+</t>
  </si>
  <si>
    <t>HET6 15-25</t>
  </si>
  <si>
    <t>HET6 25+</t>
  </si>
  <si>
    <t>HET7 15-25</t>
  </si>
  <si>
    <t>HET7 25+</t>
  </si>
  <si>
    <t>HET8 15-25</t>
  </si>
  <si>
    <t>HET8 25+</t>
  </si>
  <si>
    <t>HES5 15-25</t>
  </si>
  <si>
    <t>HES5 25+</t>
  </si>
  <si>
    <t>BRS4</t>
  </si>
  <si>
    <t>HES6 15-25</t>
  </si>
  <si>
    <t>HES6 25+</t>
  </si>
  <si>
    <t>MKU18 0-5</t>
  </si>
  <si>
    <t>MKU18 5-15</t>
  </si>
  <si>
    <t>HES7 15-25</t>
  </si>
  <si>
    <t>HES7 25+</t>
  </si>
  <si>
    <t>MKU19 0-5</t>
  </si>
  <si>
    <t>MKU19 5-15</t>
  </si>
  <si>
    <t>HES8 15-25</t>
  </si>
  <si>
    <t>HES8 25+</t>
  </si>
  <si>
    <t>MKU20 0-5</t>
  </si>
  <si>
    <t>BRS5</t>
  </si>
  <si>
    <t>MKU20 5-158</t>
  </si>
  <si>
    <t>INU13 15-25</t>
  </si>
  <si>
    <t>INU14 15+</t>
  </si>
  <si>
    <t>MKT147 0-5</t>
  </si>
  <si>
    <t>MKT14 5-15</t>
  </si>
  <si>
    <t>INU15 15+</t>
  </si>
  <si>
    <t>INU1615-25</t>
  </si>
  <si>
    <t>MKT18 0-5</t>
  </si>
  <si>
    <t>NKT18 5-15</t>
  </si>
  <si>
    <t>INU16 25+</t>
  </si>
  <si>
    <t>INT13 15-25</t>
  </si>
  <si>
    <t>BRS6</t>
  </si>
  <si>
    <t>MKT19 0-5</t>
  </si>
  <si>
    <t>MKT19 5-15</t>
  </si>
  <si>
    <t>INT13 25+</t>
  </si>
  <si>
    <t>INT14 15-25</t>
  </si>
  <si>
    <t>MKT20 0-5</t>
  </si>
  <si>
    <t>MKT20 5-15</t>
  </si>
  <si>
    <t>INT14 25+</t>
  </si>
  <si>
    <t>INT15 15-25</t>
  </si>
  <si>
    <t>MKS17 0-5</t>
  </si>
  <si>
    <t>MKS17 5-15</t>
  </si>
  <si>
    <t>INT15 25+</t>
  </si>
  <si>
    <t>BRS7</t>
  </si>
  <si>
    <t>INT16 15-25</t>
  </si>
  <si>
    <t>MKS18 0-5</t>
  </si>
  <si>
    <t>MKS18 5-15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</si>
  <si>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</si>
  <si>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</si>
  <si>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</si>
  <si>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</si>
  <si>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</si>
  <si>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</si>
  <si>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</si>
  <si>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USGS-41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</si>
  <si>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</si>
  <si>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</si>
  <si>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</si>
  <si>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</si>
  <si>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</si>
  <si>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</si>
  <si>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</si>
  <si>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</si>
  <si>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</si>
  <si>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</si>
  <si>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</si>
  <si>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</si>
  <si>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</si>
  <si>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</si>
  <si>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</si>
  <si>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</si>
  <si>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</si>
  <si>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</si>
  <si>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</si>
  <si>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</si>
  <si>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</si>
  <si>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</si>
  <si>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</si>
  <si>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</si>
  <si>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</si>
  <si>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</si>
  <si>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</si>
  <si>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</si>
  <si>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</si>
  <si>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</si>
  <si>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</si>
  <si>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</si>
  <si>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</si>
  <si>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</si>
  <si>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</si>
  <si>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</si>
  <si>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</si>
  <si>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</si>
  <si>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</si>
  <si>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</si>
  <si>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</si>
  <si>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</si>
  <si>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</si>
  <si>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</si>
  <si>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</si>
  <si>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</si>
  <si>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</si>
  <si>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</si>
  <si>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</si>
  <si>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</si>
  <si>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</si>
  <si>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</si>
  <si>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</si>
  <si>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</si>
  <si>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</si>
  <si>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</si>
  <si>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</si>
  <si>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</si>
  <si>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</si>
  <si>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</si>
  <si>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</si>
  <si>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</si>
  <si>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</si>
  <si>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</si>
  <si>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</si>
  <si>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</si>
  <si>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</si>
  <si>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</si>
  <si>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</si>
  <si>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</si>
  <si>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</si>
  <si>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</si>
  <si>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</si>
  <si>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</si>
  <si>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</si>
  <si>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</si>
  <si>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</si>
  <si>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</si>
  <si>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</si>
  <si>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</si>
  <si>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</si>
  <si>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</si>
  <si>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</si>
  <si>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</si>
  <si>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</si>
  <si>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</si>
  <si>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</si>
  <si>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</si>
  <si>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</si>
  <si>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</si>
  <si>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</si>
  <si>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</si>
  <si>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</si>
  <si>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</si>
  <si>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</si>
  <si>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</si>
  <si>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</si>
  <si>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</si>
  <si>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</si>
  <si>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</si>
  <si>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</si>
  <si>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</si>
  <si>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</si>
  <si>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</si>
  <si>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</si>
  <si>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</si>
  <si>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</si>
  <si>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</si>
  <si>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</si>
  <si>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</si>
  <si>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</si>
  <si>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</si>
  <si>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</si>
  <si>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</si>
  <si>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</si>
  <si>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</si>
  <si>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</si>
  <si>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</si>
  <si>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</si>
  <si>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</si>
  <si>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</si>
  <si>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</si>
  <si>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</si>
  <si>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</si>
  <si>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</si>
  <si>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</si>
  <si>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</si>
  <si>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</si>
  <si>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</si>
  <si>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</si>
  <si>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</si>
  <si>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</si>
  <si>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</si>
  <si>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</si>
  <si>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</si>
  <si>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</si>
  <si>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Reroll</t>
  </si>
  <si>
    <t>Capsule was Torn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</si>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</sst>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8"/>
  <sheetViews>
    <sheetView workbookViewId="0">
      <selection activeCell="F11" sqref="F11"/>
    </sheetView>
  </sheetViews>
  <sheetFormatPr defaultRowHeight="12.75" x14ac:dyDescent="0.2"/>
  <sheetData>
    <row r="1" spans="1:6" x14ac:dyDescent="0.2">
      <c r="E1" t="s">
        <v>271</v>
      </c>
      <c r="F1" t="s">
        <v>272</v>
      </c>
    </row>
    <row r="2" spans="1:6" x14ac:dyDescent="0.2">
      <c r="A2" t="s">
        <v>254</v>
      </c>
      <c r="E2">
        <f>original!X1</f>
        <v>6</v>
      </c>
      <c r="F2" t="str">
        <f>IF(E2&gt;7,"FLAG","NO")</f>
        <v>NO</v>
      </c>
    </row>
    <row r="3" spans="1:6" x14ac:dyDescent="0.2">
      <c r="A3" t="s">
        <v>255</v>
      </c>
      <c r="E3">
        <f>work!V13</f>
        <v>0.85074161451243002</v>
      </c>
      <c r="F3" t="str">
        <f>IF(E3&lt;0.6,"YES",IF(E3&lt;0.8,"SMALL",IF(E3&gt;1,"YES","NO")))</f>
        <v>NO</v>
      </c>
    </row>
    <row r="4" spans="1:6" x14ac:dyDescent="0.2">
      <c r="A4" t="s">
        <v>256</v>
      </c>
      <c r="E4">
        <f>work!X13</f>
        <v>0.99602500409207706</v>
      </c>
      <c r="F4" t="str">
        <f>IF(E4&lt;0.6,"YES",IF(E4&lt;0.8,"SMALL",IF(E4&gt;1,"YES","NO")))</f>
        <v>NO</v>
      </c>
    </row>
    <row r="5" spans="1:6" x14ac:dyDescent="0.2">
      <c r="A5" t="s">
        <v>257</v>
      </c>
      <c r="E5">
        <f>work!W13</f>
        <v>0.98714160709145016</v>
      </c>
      <c r="F5" t="str">
        <f>IF(E5&lt;0.5,"YES",IF(E5&lt;0.7,"SMALL",IF(E5&gt;1,"YES","NO")))</f>
        <v>NO</v>
      </c>
    </row>
    <row r="6" spans="1:6" x14ac:dyDescent="0.2">
      <c r="A6" t="s">
        <v>258</v>
      </c>
      <c r="E6">
        <f>work!Y13</f>
        <v>0.97323576663628275</v>
      </c>
      <c r="F6" t="str">
        <f>IF(E6&lt;0.5,"YES",IF(E6&lt;0.7,"SMALL",IF(E6&gt;1,"YES","NO")))</f>
        <v>NO</v>
      </c>
    </row>
    <row r="7" spans="1:6" x14ac:dyDescent="0.2">
      <c r="A7" t="s">
        <v>259</v>
      </c>
      <c r="E7">
        <f>work!AO19</f>
        <v>0.99954678355886384</v>
      </c>
      <c r="F7" t="str">
        <f>IF(E7&lt;0.98,"YES",IF(E7&lt;0.99,"SMALL",IF(E7&gt;1,"YES","NO")))</f>
        <v>NO</v>
      </c>
    </row>
    <row r="8" spans="1:6" x14ac:dyDescent="0.2">
      <c r="A8" t="s">
        <v>260</v>
      </c>
      <c r="E8">
        <f>work!AN53</f>
        <v>0.99945519735967581</v>
      </c>
      <c r="F8" t="str">
        <f>IF(E8&lt;0.98,"YES",IF(E8&lt;0.99,"SMALL",IF(E8&gt;1,"YES","NO")))</f>
        <v>NO</v>
      </c>
    </row>
    <row r="9" spans="1:6" x14ac:dyDescent="0.2">
      <c r="A9" t="s">
        <v>261</v>
      </c>
      <c r="E9">
        <f>IF(work!AK87&gt;2,work!AO85,work!AN85)</f>
        <v>0.9999957241068459</v>
      </c>
      <c r="F9" t="str">
        <f>IF(E9="Only Two Points","NO",IF(E9&lt;0.98,"YES",IF(E9&lt;0.99,"SMALL",IF(E9&gt;1,"YES","NO"))))</f>
        <v>NO</v>
      </c>
    </row>
    <row r="10" spans="1:6" x14ac:dyDescent="0.2">
      <c r="A10" t="s">
        <v>262</v>
      </c>
      <c r="E10">
        <f>IF(work!AK119&gt;2,work!AN118,work!AO118)</f>
        <v>0.99999381587238423</v>
      </c>
      <c r="F10" t="str">
        <f>IF(E10="Only Two Points","NO",IF(E10&lt;0.98,"YES",IF(E10&lt;0.99,"SMALL",IF(E10&gt;1,"YES","NO"))))</f>
        <v>NO</v>
      </c>
    </row>
    <row r="11" spans="1:6" x14ac:dyDescent="0.2">
      <c r="A11" t="s">
        <v>263</v>
      </c>
      <c r="E11">
        <f>report!I9</f>
        <v>2.4787533124101322</v>
      </c>
      <c r="F11" t="str">
        <f>IF(work!M2=1,IF(QA!E11&lt;1,"NO",IF(QA!E11&lt;1.5,"SMALL","YES")),IF(QA!E11&lt;1,"NO",IF(QA!E11&lt;2,"SMALL","YES")))</f>
        <v>YES</v>
      </c>
    </row>
    <row r="12" spans="1:6" x14ac:dyDescent="0.2">
      <c r="A12" t="s">
        <v>264</v>
      </c>
      <c r="E12">
        <f>report!J9</f>
        <v>1.9897641627254707</v>
      </c>
      <c r="F12" t="str">
        <f>IF(work!M2=1,IF(QA!E12&lt;1,"NO",IF(QA!E12&lt;1.5,"SMALL","YES")),IF(QA!E12&lt;1,"NO",IF(QA!E12&lt;2,"SMALL","YES")))</f>
        <v>SMALL</v>
      </c>
    </row>
    <row r="13" spans="1:6" x14ac:dyDescent="0.2">
      <c r="A13" t="s">
        <v>265</v>
      </c>
      <c r="E13">
        <f>report!K8</f>
        <v>0.43086008117694263</v>
      </c>
      <c r="F13" t="str">
        <f>IF(work!M2=1,IF(QA!E13&lt;0.2,"NO",IF(QA!E13&lt;0.3,"SMALL","YES")),IF(QA!E13&lt;0.3,"NO",IF(QA!E13&lt;0.5,"SMALL","YES")))</f>
        <v>SMALL</v>
      </c>
    </row>
    <row r="14" spans="1:6" x14ac:dyDescent="0.2">
      <c r="A14" t="s">
        <v>266</v>
      </c>
      <c r="E14">
        <f>report!L8</f>
        <v>0.124069491771368</v>
      </c>
      <c r="F14" t="str">
        <f>IF(work!M2=1,IF(QA!E14&lt;0.2,"NO",IF(QA!E14&lt;0.3,"SMALL","YES")),IF(QA!E14&lt;0.3,"NO",IF(QA!E14&lt;0.5,"SMALL","YES")))</f>
        <v>NO</v>
      </c>
    </row>
    <row r="15" spans="1:6" x14ac:dyDescent="0.2">
      <c r="A15" t="s">
        <v>267</v>
      </c>
      <c r="E15">
        <f>report!L15</f>
        <v>1.0099223028942346</v>
      </c>
      <c r="F15" t="str">
        <f>IF(ABS(1-E15)&gt;0.05,"YES",IF(ABS(1-E15)&gt;0.025,"SMALL","NO"))</f>
        <v>NO</v>
      </c>
    </row>
    <row r="16" spans="1:6" x14ac:dyDescent="0.2">
      <c r="A16" t="s">
        <v>268</v>
      </c>
      <c r="E16">
        <f>report!L16</f>
        <v>1.0079586716852551</v>
      </c>
      <c r="F16" t="str">
        <f>IF(ABS(1-E16)&gt;0.05,"YES",IF(ABS(1-E16)&gt;0.025,"SMALL","NO"))</f>
        <v>NO</v>
      </c>
    </row>
    <row r="17" spans="1:6" x14ac:dyDescent="0.2">
      <c r="A17" t="s">
        <v>269</v>
      </c>
      <c r="E17">
        <f>report!L17</f>
        <v>0.99340016694266775</v>
      </c>
      <c r="F17" t="str">
        <f>IF(ABS(1-E17)&gt;0.05,"YES",IF(ABS(1-E17)&gt;0.025,"SMALL","NO"))</f>
        <v>NO</v>
      </c>
    </row>
    <row r="18" spans="1:6" x14ac:dyDescent="0.2">
      <c r="A18" t="s">
        <v>270</v>
      </c>
      <c r="E18">
        <f>report!L18</f>
        <v>0.99647270725729198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0"/>
  <sheetViews>
    <sheetView topLeftCell="A19" workbookViewId="0">
      <selection activeCell="C52" sqref="C52"/>
    </sheetView>
  </sheetViews>
  <sheetFormatPr defaultRowHeight="12.75" x14ac:dyDescent="0.2"/>
  <cols>
    <col min="1" max="1" width="11.7109375" customWidth="1"/>
  </cols>
  <sheetData>
    <row r="1" spans="1:13" x14ac:dyDescent="0.2">
      <c r="A1" t="s">
        <v>244</v>
      </c>
      <c r="B1" t="s">
        <v>174</v>
      </c>
      <c r="C1" t="s">
        <v>175</v>
      </c>
      <c r="D1" t="s">
        <v>122</v>
      </c>
      <c r="E1" t="s">
        <v>123</v>
      </c>
      <c r="F1" t="s">
        <v>242</v>
      </c>
    </row>
    <row r="2" spans="1:13" x14ac:dyDescent="0.2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245</v>
      </c>
    </row>
    <row r="3" spans="1:13" x14ac:dyDescent="0.2">
      <c r="A3" t="str">
        <f>work!AW3</f>
        <v>Peach0.5</v>
      </c>
      <c r="B3">
        <f>work!AX3</f>
        <v>2.9028472338724192</v>
      </c>
      <c r="C3">
        <f>work!AY3</f>
        <v>45.368937724719068</v>
      </c>
      <c r="D3">
        <f>work!AZ3</f>
        <v>2.2183991201954556</v>
      </c>
      <c r="E3">
        <f>work!BA3</f>
        <v>-25.875799260982259</v>
      </c>
      <c r="H3" s="17" t="s">
        <v>246</v>
      </c>
      <c r="I3" s="18"/>
      <c r="J3" s="18" t="str">
        <f>IF(work!M2=1,"Peach","Buffalo River Sediment")</f>
        <v>Buffalo River Sediment</v>
      </c>
      <c r="K3" s="18"/>
      <c r="L3" s="21"/>
    </row>
    <row r="4" spans="1:13" x14ac:dyDescent="0.2">
      <c r="A4" t="str">
        <f>work!AW4</f>
        <v>Peach1.0</v>
      </c>
      <c r="B4">
        <f>work!AX4</f>
        <v>2.9852654801747067</v>
      </c>
      <c r="C4">
        <f>work!AY4</f>
        <v>46.001086541795104</v>
      </c>
      <c r="D4">
        <f>work!AZ4</f>
        <v>2.1031061496474792</v>
      </c>
      <c r="E4">
        <f>work!BA4</f>
        <v>-26.036742082036362</v>
      </c>
      <c r="H4" s="16" t="s">
        <v>247</v>
      </c>
      <c r="J4">
        <f>COUNT(work!M7:M21)</f>
        <v>5</v>
      </c>
      <c r="L4" s="22"/>
    </row>
    <row r="5" spans="1:13" x14ac:dyDescent="0.2">
      <c r="A5" t="str">
        <f>work!AW5</f>
        <v>Peach1.8</v>
      </c>
      <c r="B5">
        <f>work!AX5</f>
        <v>2.9245952902343615</v>
      </c>
      <c r="C5">
        <f>work!AY5</f>
        <v>45.211609192940813</v>
      </c>
      <c r="D5">
        <f>work!AZ5</f>
        <v>2.0893580503812537</v>
      </c>
      <c r="E5">
        <f>work!BA5</f>
        <v>-25.960403305039844</v>
      </c>
      <c r="H5" s="16"/>
      <c r="L5" s="22"/>
    </row>
    <row r="6" spans="1:13" x14ac:dyDescent="0.2">
      <c r="A6" t="str">
        <f>work!AW6</f>
        <v>Peach2.8</v>
      </c>
      <c r="B6">
        <f>work!AX6</f>
        <v>2.9185067951701993</v>
      </c>
      <c r="C6">
        <f>work!AY6</f>
        <v>45.400740991838227</v>
      </c>
      <c r="D6">
        <f>work!AZ6</f>
        <v>2.1445367610893862</v>
      </c>
      <c r="E6">
        <f>work!BA6</f>
        <v>-26.028895692358336</v>
      </c>
      <c r="H6" s="16"/>
      <c r="I6" t="str">
        <f>B1</f>
        <v>%N</v>
      </c>
      <c r="J6" t="str">
        <f t="shared" ref="J6:L6" si="0">C1</f>
        <v>%C</v>
      </c>
      <c r="K6" t="str">
        <f t="shared" si="0"/>
        <v>d15N</v>
      </c>
      <c r="L6" s="22" t="str">
        <f t="shared" si="0"/>
        <v>d13C</v>
      </c>
    </row>
    <row r="7" spans="1:13" x14ac:dyDescent="0.2">
      <c r="A7" t="str">
        <f>work!AW7</f>
        <v>Peach4.0</v>
      </c>
      <c r="B7">
        <f>work!AX7</f>
        <v>2.9044482870724502</v>
      </c>
      <c r="C7">
        <f>work!AY7</f>
        <v>45.284796472877602</v>
      </c>
      <c r="D7">
        <f>work!AZ7</f>
        <v>2.1520515196360979</v>
      </c>
      <c r="E7">
        <f>work!BA7</f>
        <v>-25.940853735026984</v>
      </c>
      <c r="H7" s="16" t="s">
        <v>208</v>
      </c>
      <c r="I7">
        <f>SUM(work!BE3:BE16)</f>
        <v>0.19816114749386771</v>
      </c>
      <c r="J7">
        <f>SUM(work!BF3:BF16)</f>
        <v>3.2457050623402659</v>
      </c>
      <c r="K7">
        <f>SUM(work!BG3:BG16)</f>
        <v>2.9804069590797369</v>
      </c>
      <c r="L7">
        <f>SUM(work!BH3:BH16)</f>
        <v>-19.353345537311252</v>
      </c>
    </row>
    <row r="8" spans="1:13" x14ac:dyDescent="0.2">
      <c r="A8" t="str">
        <f>work!AW8</f>
        <v>Peach5.0</v>
      </c>
      <c r="B8">
        <f>work!AX8</f>
        <v>2.9124916545286093</v>
      </c>
      <c r="C8">
        <f>work!AY8</f>
        <v>45.243466159679862</v>
      </c>
      <c r="D8">
        <f>work!AZ8</f>
        <v>2.2260045897055707</v>
      </c>
      <c r="E8">
        <f>work!BA8</f>
        <v>-25.971735015012811</v>
      </c>
      <c r="H8" s="16" t="s">
        <v>248</v>
      </c>
      <c r="I8">
        <f>SUM(work!BE20:BE33)</f>
        <v>4.9119260074141731E-3</v>
      </c>
      <c r="J8">
        <f>SUM(work!BF20:BF33)</f>
        <v>6.4581876158213009E-2</v>
      </c>
      <c r="K8">
        <f>SUM(work!BG20:BG33)</f>
        <v>0.43086008117694263</v>
      </c>
      <c r="L8">
        <f>SUM(work!BH20:BH33)</f>
        <v>0.124069491771368</v>
      </c>
    </row>
    <row r="9" spans="1:13" x14ac:dyDescent="0.2">
      <c r="A9" t="str">
        <f>work!AW9</f>
        <v>Peach6.0</v>
      </c>
      <c r="B9">
        <f>work!AX9</f>
        <v>2.9452870570902192</v>
      </c>
      <c r="C9">
        <f>work!AY9</f>
        <v>45.362080340536906</v>
      </c>
      <c r="D9">
        <f>work!AZ9</f>
        <v>2.0964544439652291</v>
      </c>
      <c r="E9">
        <f>work!BA9</f>
        <v>-25.920796542054681</v>
      </c>
      <c r="H9" s="19" t="s">
        <v>249</v>
      </c>
      <c r="I9" s="20">
        <f>I8/I7*100</f>
        <v>2.4787533124101322</v>
      </c>
      <c r="J9" s="20">
        <f>J8/J7*100</f>
        <v>1.9897641627254707</v>
      </c>
      <c r="K9" s="20"/>
      <c r="L9" s="23"/>
    </row>
    <row r="10" spans="1:13" x14ac:dyDescent="0.2">
      <c r="A10" t="str">
        <f>work!AW10</f>
        <v>BRS1</v>
      </c>
      <c r="B10">
        <f>work!AX10</f>
        <v>0.20523254853341866</v>
      </c>
      <c r="C10">
        <f>work!AY10</f>
        <v>3.3051893955379947</v>
      </c>
      <c r="D10">
        <f>work!AZ10</f>
        <v>3.2631449271869095</v>
      </c>
      <c r="E10">
        <f>work!BA10</f>
        <v>-19.27504672157858</v>
      </c>
    </row>
    <row r="11" spans="1:13" x14ac:dyDescent="0.2">
      <c r="A11" t="str">
        <f>work!AW11</f>
        <v>ALU1 15-25</v>
      </c>
      <c r="B11">
        <f>work!AX11</f>
        <v>7.2845000733021359E-2</v>
      </c>
      <c r="C11">
        <f>work!AY11</f>
        <v>0.99436391661302581</v>
      </c>
      <c r="D11">
        <f>work!AZ11</f>
        <v>3.9656458759053321</v>
      </c>
      <c r="E11">
        <f>work!BA11</f>
        <v>-25.769269443959516</v>
      </c>
    </row>
    <row r="12" spans="1:13" x14ac:dyDescent="0.2">
      <c r="A12" t="str">
        <f>work!AW12</f>
        <v>ALU1 25+</v>
      </c>
      <c r="B12">
        <f>work!AX12</f>
        <v>6.1424225173982848E-2</v>
      </c>
      <c r="C12">
        <f>work!AY12</f>
        <v>0.65302423545364485</v>
      </c>
      <c r="D12">
        <f>work!AZ12</f>
        <v>4.0616309938880022</v>
      </c>
      <c r="E12">
        <f>work!BA12</f>
        <v>-24.82206345262961</v>
      </c>
    </row>
    <row r="13" spans="1:13" x14ac:dyDescent="0.2">
      <c r="A13" t="str">
        <f>work!AW13</f>
        <v>ALU2 15-25</v>
      </c>
      <c r="B13">
        <f>work!AX13</f>
        <v>7.3471932683640606E-2</v>
      </c>
      <c r="C13">
        <f>work!AY13</f>
        <v>0.81036871847068404</v>
      </c>
      <c r="D13">
        <f>work!AZ13</f>
        <v>4.1024088397235836</v>
      </c>
      <c r="E13">
        <f>work!BA13</f>
        <v>-25.268643870636133</v>
      </c>
      <c r="H13" s="15" t="s">
        <v>250</v>
      </c>
      <c r="K13" s="15" t="s">
        <v>252</v>
      </c>
    </row>
    <row r="14" spans="1:13" x14ac:dyDescent="0.2">
      <c r="A14" t="str">
        <f>work!AW14</f>
        <v>ALU3 15+</v>
      </c>
      <c r="B14">
        <f>work!AX14</f>
        <v>6.7767083077460835E-2</v>
      </c>
      <c r="C14">
        <f>work!AY14</f>
        <v>0.65493986123322534</v>
      </c>
      <c r="D14">
        <f>work!AZ14</f>
        <v>4.4404039446157482</v>
      </c>
      <c r="E14">
        <f>work!BA14</f>
        <v>-24.955316651115723</v>
      </c>
      <c r="H14" s="17"/>
      <c r="I14" s="21" t="s">
        <v>251</v>
      </c>
      <c r="K14" s="17"/>
      <c r="L14" s="18" t="s">
        <v>253</v>
      </c>
      <c r="M14" s="21" t="s">
        <v>251</v>
      </c>
    </row>
    <row r="15" spans="1:13" x14ac:dyDescent="0.2">
      <c r="A15" t="str">
        <f>work!AW15</f>
        <v>ALU4 15+</v>
      </c>
      <c r="B15">
        <f>work!AX15</f>
        <v>6.4868259122923419E-2</v>
      </c>
      <c r="C15">
        <f>work!AY15</f>
        <v>0.67992560572318961</v>
      </c>
      <c r="D15">
        <f>work!AZ15</f>
        <v>4.5338973670808711</v>
      </c>
      <c r="E15">
        <f>work!BA15</f>
        <v>-25.292140504769048</v>
      </c>
      <c r="H15" s="16" t="str">
        <f>B1</f>
        <v>%N</v>
      </c>
      <c r="I15" s="22">
        <f>work!V13</f>
        <v>0.85074161451243002</v>
      </c>
      <c r="K15" s="16" t="str">
        <f>B1</f>
        <v>%N</v>
      </c>
      <c r="L15">
        <f>work!AO17</f>
        <v>1.0099223028942346</v>
      </c>
      <c r="M15" s="22">
        <f>work!AO19</f>
        <v>0.99954678355886384</v>
      </c>
    </row>
    <row r="16" spans="1:13" x14ac:dyDescent="0.2">
      <c r="A16" t="str">
        <f>work!AW16</f>
        <v>ALT1 15-25</v>
      </c>
      <c r="B16">
        <f>work!AX16</f>
        <v>8.6798207740570968E-2</v>
      </c>
      <c r="C16">
        <f>work!AY16</f>
        <v>1.3466939267688625</v>
      </c>
      <c r="D16">
        <f>work!AZ16</f>
        <v>3.7606359371335816</v>
      </c>
      <c r="E16">
        <f>work!BA16</f>
        <v>-26.667399621220198</v>
      </c>
      <c r="H16" s="16" t="str">
        <f>C1</f>
        <v>%C</v>
      </c>
      <c r="I16" s="22">
        <f>work!X13</f>
        <v>0.99602500409207706</v>
      </c>
      <c r="K16" s="16" t="str">
        <f>C1</f>
        <v>%C</v>
      </c>
      <c r="L16">
        <f>work!AN51</f>
        <v>1.0079586716852551</v>
      </c>
      <c r="M16" s="22">
        <f>work!AN53</f>
        <v>0.99945519735967581</v>
      </c>
    </row>
    <row r="17" spans="1:13" x14ac:dyDescent="0.2">
      <c r="A17" t="str">
        <f>work!AW17</f>
        <v>ALT1 25+</v>
      </c>
      <c r="B17">
        <f>work!AX17</f>
        <v>7.1525535173141003E-2</v>
      </c>
      <c r="C17">
        <f>work!AY17</f>
        <v>0.7617604065463025</v>
      </c>
      <c r="D17">
        <f>work!AZ17</f>
        <v>4.2635632522252269</v>
      </c>
      <c r="E17">
        <f>work!BA17</f>
        <v>-21.702864850914242</v>
      </c>
      <c r="H17" s="16" t="str">
        <f>D1</f>
        <v>d15N</v>
      </c>
      <c r="I17" s="22">
        <f>work!W13</f>
        <v>0.98714160709145016</v>
      </c>
      <c r="K17" s="16" t="str">
        <f>D1</f>
        <v>d15N</v>
      </c>
      <c r="L17">
        <f>work!AO83</f>
        <v>0.99340016694266775</v>
      </c>
      <c r="M17" s="22">
        <f>work!AO85</f>
        <v>0.9999957241068459</v>
      </c>
    </row>
    <row r="18" spans="1:13" x14ac:dyDescent="0.2">
      <c r="A18" t="str">
        <f>work!AW18</f>
        <v>ALT2 15-25</v>
      </c>
      <c r="B18">
        <f>work!AX18</f>
        <v>8.0336984804971132E-2</v>
      </c>
      <c r="C18">
        <f>work!AY18</f>
        <v>0.85161216251414995</v>
      </c>
      <c r="D18">
        <f>work!AZ18</f>
        <v>4.7209745513755461</v>
      </c>
      <c r="E18">
        <f>work!BA18</f>
        <v>-24.960126307990329</v>
      </c>
      <c r="H18" s="19" t="str">
        <f>E1</f>
        <v>d13C</v>
      </c>
      <c r="I18" s="23">
        <f>work!Y13</f>
        <v>0.97323576663628275</v>
      </c>
      <c r="K18" s="19" t="str">
        <f>E1</f>
        <v>d13C</v>
      </c>
      <c r="L18" s="20">
        <f>work!AO116</f>
        <v>0.99647270725729198</v>
      </c>
      <c r="M18" s="23">
        <f>work!AN118</f>
        <v>0.99999381587238423</v>
      </c>
    </row>
    <row r="19" spans="1:13" x14ac:dyDescent="0.2">
      <c r="A19" t="str">
        <f>work!AW19</f>
        <v>ALT2 25+</v>
      </c>
      <c r="B19">
        <f>work!AX19</f>
        <v>6.8388378823472457E-2</v>
      </c>
      <c r="C19">
        <f>work!AY19</f>
        <v>0.64674532486171221</v>
      </c>
      <c r="D19">
        <f>work!AZ19</f>
        <v>4.4344747248674263</v>
      </c>
      <c r="E19">
        <f>work!BA19</f>
        <v>-23.30013753552905</v>
      </c>
    </row>
    <row r="20" spans="1:13" x14ac:dyDescent="0.2">
      <c r="A20" t="str">
        <f>work!AW20</f>
        <v>ALT3 15-25</v>
      </c>
      <c r="B20">
        <f>work!AX20</f>
        <v>0.69999012621481482</v>
      </c>
      <c r="C20">
        <f>work!AY20</f>
        <v>6.4495785768318212</v>
      </c>
      <c r="D20">
        <f>work!AZ20</f>
        <v>4.9041690978925399</v>
      </c>
      <c r="E20">
        <f>work!BA20</f>
        <v>-25.119168247223971</v>
      </c>
    </row>
    <row r="21" spans="1:13" x14ac:dyDescent="0.2">
      <c r="A21" t="str">
        <f>work!AW21</f>
        <v>ALT3 25+</v>
      </c>
      <c r="B21">
        <f>work!AX21</f>
        <v>8.7012995222526604E-2</v>
      </c>
      <c r="C21">
        <f>work!AY21</f>
        <v>0.91791627722984148</v>
      </c>
      <c r="D21">
        <f>work!AZ21</f>
        <v>4.6900196913599466</v>
      </c>
      <c r="E21">
        <f>work!BA21</f>
        <v>-25.184113563907694</v>
      </c>
    </row>
    <row r="22" spans="1:13" x14ac:dyDescent="0.2">
      <c r="A22" t="str">
        <f>work!AW22</f>
        <v>ALT4 15-25</v>
      </c>
      <c r="B22">
        <f>work!AX22</f>
        <v>7.0662932871533884E-2</v>
      </c>
      <c r="C22">
        <f>work!AY22</f>
        <v>0.7564721582757099</v>
      </c>
      <c r="D22">
        <f>work!AZ22</f>
        <v>4.6946175551067091</v>
      </c>
      <c r="E22">
        <f>work!BA22</f>
        <v>-24.961020680721152</v>
      </c>
    </row>
    <row r="23" spans="1:13" x14ac:dyDescent="0.2">
      <c r="A23" t="str">
        <f>work!AW23</f>
        <v>ALT4 25+</v>
      </c>
      <c r="B23">
        <f>work!AX23</f>
        <v>6.593356267769046E-2</v>
      </c>
      <c r="C23">
        <f>work!AY23</f>
        <v>0.62270891514922466</v>
      </c>
      <c r="D23">
        <f>work!AZ23</f>
        <v>4.4448410082989414</v>
      </c>
      <c r="E23">
        <f>work!BA23</f>
        <v>-24.691704848553098</v>
      </c>
    </row>
    <row r="24" spans="1:13" x14ac:dyDescent="0.2">
      <c r="A24" t="str">
        <f>work!AW24</f>
        <v>ALS1 15-25</v>
      </c>
      <c r="B24">
        <f>work!AX24</f>
        <v>6.7839326325096788E-2</v>
      </c>
      <c r="C24">
        <f>work!AY24</f>
        <v>0.67297058434157209</v>
      </c>
      <c r="D24">
        <f>work!AZ24</f>
        <v>4.1951900510537099</v>
      </c>
      <c r="E24">
        <f>work!BA24</f>
        <v>-24.776029470708156</v>
      </c>
    </row>
    <row r="25" spans="1:13" x14ac:dyDescent="0.2">
      <c r="A25" t="str">
        <f>work!AW25</f>
        <v>BRS2</v>
      </c>
      <c r="B25">
        <f>work!AX25</f>
        <v>0.19910931399953438</v>
      </c>
      <c r="C25">
        <f>work!AY25</f>
        <v>3.2325890697304498</v>
      </c>
      <c r="D25">
        <f>work!AZ25</f>
        <v>3.3090016042517734</v>
      </c>
      <c r="E25">
        <f>work!BA25</f>
        <v>-19.430508494808496</v>
      </c>
    </row>
    <row r="26" spans="1:13" x14ac:dyDescent="0.2">
      <c r="A26" t="str">
        <f>work!AW26</f>
        <v>ALS2 15-25</v>
      </c>
      <c r="B26">
        <f>work!AX26</f>
        <v>6.9359332141873273E-2</v>
      </c>
      <c r="C26">
        <f>work!AY26</f>
        <v>0.82814148606197779</v>
      </c>
      <c r="D26">
        <f>work!AZ26</f>
        <v>4.0596927854903955</v>
      </c>
      <c r="E26">
        <f>work!BA26</f>
        <v>-25.994659675454862</v>
      </c>
    </row>
    <row r="27" spans="1:13" x14ac:dyDescent="0.2">
      <c r="A27" t="str">
        <f>work!AW27</f>
        <v>ALS2 25+</v>
      </c>
      <c r="B27">
        <f>work!AX27</f>
        <v>8.0360598680537146E-2</v>
      </c>
      <c r="C27">
        <f>work!AY27</f>
        <v>1.0052688494870856</v>
      </c>
      <c r="D27">
        <f>work!AZ27</f>
        <v>4.5672824581250637</v>
      </c>
      <c r="E27">
        <f>work!BA27</f>
        <v>-25.726513707924067</v>
      </c>
    </row>
    <row r="28" spans="1:13" x14ac:dyDescent="0.2">
      <c r="A28" t="str">
        <f>work!AW28</f>
        <v>ALS3 15-25</v>
      </c>
      <c r="B28">
        <f>work!AX28</f>
        <v>6.571899559326938E-2</v>
      </c>
      <c r="C28">
        <f>work!AY28</f>
        <v>0.71542138631231111</v>
      </c>
      <c r="D28">
        <f>work!AZ28</f>
        <v>4.8519965281341371</v>
      </c>
      <c r="E28">
        <f>work!BA28</f>
        <v>-25.155690453100501</v>
      </c>
    </row>
    <row r="29" spans="1:13" x14ac:dyDescent="0.2">
      <c r="A29" t="str">
        <f>work!AW29</f>
        <v>ALS3 25+</v>
      </c>
      <c r="B29">
        <f>work!AX29</f>
        <v>6.5838711632072139E-2</v>
      </c>
      <c r="C29">
        <f>work!AY29</f>
        <v>0.60240502175529309</v>
      </c>
      <c r="D29">
        <f>work!AZ29</f>
        <v>4.226692698777831</v>
      </c>
      <c r="E29">
        <f>work!BA29</f>
        <v>-24.227766899734341</v>
      </c>
    </row>
    <row r="30" spans="1:13" x14ac:dyDescent="0.2">
      <c r="A30" t="str">
        <f>work!AW30</f>
        <v>ALS4 15-25</v>
      </c>
      <c r="B30">
        <f>work!AX30</f>
        <v>6.5510690034722791E-2</v>
      </c>
      <c r="C30">
        <f>work!AY30</f>
        <v>0.83072996979073443</v>
      </c>
      <c r="D30">
        <f>work!AZ30</f>
        <v>4.7224325025661962</v>
      </c>
      <c r="E30">
        <f>work!BA30</f>
        <v>-25.731995279185863</v>
      </c>
    </row>
    <row r="31" spans="1:13" x14ac:dyDescent="0.2">
      <c r="A31" t="str">
        <f>work!AW31</f>
        <v>ALS4 25+</v>
      </c>
      <c r="B31">
        <f>work!AX31</f>
        <v>7.5025379481462345E-2</v>
      </c>
      <c r="C31">
        <f>work!AY31</f>
        <v>0.8784883374339425</v>
      </c>
      <c r="D31">
        <f>work!AZ31</f>
        <v>4.5568886914174227</v>
      </c>
      <c r="E31">
        <f>work!BA31</f>
        <v>-25.353976597889762</v>
      </c>
    </row>
    <row r="32" spans="1:13" x14ac:dyDescent="0.2">
      <c r="A32" t="str">
        <f>work!AW32</f>
        <v>HEU5 15-25</v>
      </c>
      <c r="B32">
        <f>work!AX32</f>
        <v>7.896972568198736E-2</v>
      </c>
      <c r="C32">
        <f>work!AY32</f>
        <v>1.0102241133494883</v>
      </c>
      <c r="D32">
        <f>work!AZ32</f>
        <v>4.3372857867567554</v>
      </c>
      <c r="E32">
        <f>work!BA32</f>
        <v>-25.818900863053095</v>
      </c>
    </row>
    <row r="33" spans="1:6" x14ac:dyDescent="0.2">
      <c r="A33" t="str">
        <f>work!AW33</f>
        <v>HEU5 25+</v>
      </c>
      <c r="B33">
        <f>work!AX33</f>
        <v>8.7799372197851042E-2</v>
      </c>
      <c r="C33">
        <f>work!AY33</f>
        <v>0.88757748023533956</v>
      </c>
      <c r="D33">
        <f>work!AZ33</f>
        <v>4.3602161615156811</v>
      </c>
      <c r="E33">
        <f>work!BA33</f>
        <v>-25.326020969948075</v>
      </c>
    </row>
    <row r="34" spans="1:6" x14ac:dyDescent="0.2">
      <c r="A34" t="str">
        <f>work!AW34</f>
        <v>HEU6 15-25</v>
      </c>
      <c r="B34">
        <f>work!AX34</f>
        <v>7.8609063590434014E-2</v>
      </c>
      <c r="C34">
        <f>work!AY34</f>
        <v>1.3895056432367312</v>
      </c>
      <c r="D34">
        <f>work!AZ34</f>
        <v>4.4340646530149872</v>
      </c>
      <c r="E34">
        <f>work!BA34</f>
        <v>-26.793520608367022</v>
      </c>
    </row>
    <row r="35" spans="1:6" x14ac:dyDescent="0.2">
      <c r="A35" t="str">
        <f>work!AW35</f>
        <v>HEU7 15-25</v>
      </c>
      <c r="B35">
        <f>work!AX35</f>
        <v>-9.852309970101844E-4</v>
      </c>
      <c r="C35">
        <f>work!AY35</f>
        <v>7.2135066914995119E-2</v>
      </c>
      <c r="D35">
        <f>work!AZ35</f>
        <v>-3.0437349183802094</v>
      </c>
      <c r="E35">
        <f>work!BA35</f>
        <v>-12.135721778145424</v>
      </c>
      <c r="F35" t="s">
        <v>243</v>
      </c>
    </row>
    <row r="36" spans="1:6" x14ac:dyDescent="0.2">
      <c r="A36" t="str">
        <f>work!AW36</f>
        <v>HEU8 15-25</v>
      </c>
      <c r="B36">
        <f>work!AX36</f>
        <v>0.10035282491846811</v>
      </c>
      <c r="C36">
        <f>work!AY36</f>
        <v>1.7676780372011052</v>
      </c>
      <c r="D36">
        <f>work!AZ36</f>
        <v>5.2417266873691837</v>
      </c>
      <c r="E36">
        <f>work!BA36</f>
        <v>-26.955233541961981</v>
      </c>
    </row>
    <row r="37" spans="1:6" x14ac:dyDescent="0.2">
      <c r="A37" t="str">
        <f>work!AW37</f>
        <v>BRS3</v>
      </c>
      <c r="B37">
        <f>work!AX37</f>
        <v>0.19247692067912681</v>
      </c>
      <c r="C37">
        <f>work!AY37</f>
        <v>3.1485934088621477</v>
      </c>
      <c r="D37">
        <f>work!AZ37</f>
        <v>2.9824142496974511</v>
      </c>
      <c r="E37">
        <f>work!BA37</f>
        <v>-19.307561867386589</v>
      </c>
    </row>
    <row r="38" spans="1:6" x14ac:dyDescent="0.2">
      <c r="A38" t="str">
        <f>work!AW38</f>
        <v>HEU8 25+</v>
      </c>
      <c r="B38">
        <f>work!AX38</f>
        <v>8.501882360585479E-2</v>
      </c>
      <c r="C38">
        <f>work!AY38</f>
        <v>0.94676676676221716</v>
      </c>
      <c r="D38">
        <f>work!AZ38</f>
        <v>3.8392253137262329</v>
      </c>
      <c r="E38">
        <f>work!BA38</f>
        <v>-25.444249354054012</v>
      </c>
    </row>
    <row r="39" spans="1:6" x14ac:dyDescent="0.2">
      <c r="A39" t="str">
        <f>work!AW39</f>
        <v>HET5 15-25</v>
      </c>
      <c r="B39">
        <f>work!AX39</f>
        <v>-9.852311582423071E-4</v>
      </c>
      <c r="C39">
        <f>work!AY39</f>
        <v>7.2135060208124407E-2</v>
      </c>
      <c r="D39">
        <f>work!AZ39</f>
        <v>-3.0437349183802094</v>
      </c>
      <c r="E39">
        <f>work!BA39</f>
        <v>-12.135721778746216</v>
      </c>
      <c r="F39" t="s">
        <v>243</v>
      </c>
    </row>
    <row r="40" spans="1:6" x14ac:dyDescent="0.2">
      <c r="A40" t="str">
        <f>work!AW40</f>
        <v>HET5 25+</v>
      </c>
      <c r="B40">
        <f>work!AX40</f>
        <v>6.9956776027406076E-2</v>
      </c>
      <c r="C40">
        <f>work!AY40</f>
        <v>0.70901983635629739</v>
      </c>
      <c r="D40">
        <f>work!AZ40</f>
        <v>4.7544972050480379</v>
      </c>
      <c r="E40">
        <f>work!BA40</f>
        <v>-24.941785519774797</v>
      </c>
    </row>
    <row r="41" spans="1:6" x14ac:dyDescent="0.2">
      <c r="A41" t="str">
        <f>work!AW41</f>
        <v>HET6 15-25</v>
      </c>
      <c r="B41">
        <f>work!AX41</f>
        <v>7.3087219582949864E-2</v>
      </c>
      <c r="C41">
        <f>work!AY41</f>
        <v>1.0315685577983029</v>
      </c>
      <c r="D41">
        <f>work!AZ41</f>
        <v>5.0533934578518842</v>
      </c>
      <c r="E41">
        <f>work!BA41</f>
        <v>-26.122499806909193</v>
      </c>
    </row>
    <row r="42" spans="1:6" x14ac:dyDescent="0.2">
      <c r="A42" t="str">
        <f>work!AW42</f>
        <v>HET6 25+</v>
      </c>
      <c r="B42">
        <f>work!AX42</f>
        <v>7.835394708594115E-2</v>
      </c>
      <c r="C42">
        <f>work!AY42</f>
        <v>0.763730818524745</v>
      </c>
      <c r="D42">
        <f>work!AZ42</f>
        <v>4.7417320410591293</v>
      </c>
      <c r="E42">
        <f>work!BA42</f>
        <v>-24.990191156251285</v>
      </c>
    </row>
    <row r="43" spans="1:6" x14ac:dyDescent="0.2">
      <c r="A43" t="str">
        <f>work!AW43</f>
        <v>HET7 15-25</v>
      </c>
      <c r="B43">
        <f>work!AX43</f>
        <v>-9.8508219156642177E-4</v>
      </c>
      <c r="C43">
        <f>work!AY43</f>
        <v>7.2135232211070058E-2</v>
      </c>
      <c r="D43">
        <f>work!AZ43</f>
        <v>-3.043734936177461</v>
      </c>
      <c r="E43">
        <f>work!BA43</f>
        <v>-12.135721778746216</v>
      </c>
      <c r="F43" t="s">
        <v>243</v>
      </c>
    </row>
    <row r="44" spans="1:6" x14ac:dyDescent="0.2">
      <c r="A44" t="str">
        <f>work!AW44</f>
        <v>HET7 25+</v>
      </c>
      <c r="B44">
        <f>work!AX44</f>
        <v>9.0673640677078643E-2</v>
      </c>
      <c r="C44">
        <f>work!AY44</f>
        <v>1.1356199946700793</v>
      </c>
      <c r="D44">
        <f>work!AZ44</f>
        <v>4.3775469564770981</v>
      </c>
      <c r="E44">
        <f>work!BA44</f>
        <v>-25.846017007748898</v>
      </c>
    </row>
    <row r="45" spans="1:6" x14ac:dyDescent="0.2">
      <c r="A45" t="str">
        <f>work!AW45</f>
        <v>HET8 15-25</v>
      </c>
      <c r="B45">
        <f>work!AX45</f>
        <v>7.402921692668217E-2</v>
      </c>
      <c r="C45">
        <f>work!AY45</f>
        <v>0.77960597382796981</v>
      </c>
      <c r="D45">
        <f>work!AZ45</f>
        <v>5.0629286708996952</v>
      </c>
      <c r="E45">
        <f>work!BA45</f>
        <v>-25.274336985034285</v>
      </c>
    </row>
    <row r="46" spans="1:6" x14ac:dyDescent="0.2">
      <c r="A46" t="str">
        <f>work!AW46</f>
        <v>HET8 25+</v>
      </c>
      <c r="B46">
        <f>work!AX46</f>
        <v>6.2382826430611237E-2</v>
      </c>
      <c r="C46">
        <f>work!AY46</f>
        <v>0.80772020283070012</v>
      </c>
      <c r="D46">
        <f>work!AZ46</f>
        <v>4.8694815144808148</v>
      </c>
      <c r="E46">
        <f>work!BA46</f>
        <v>-25.595669899592369</v>
      </c>
    </row>
    <row r="47" spans="1:6" x14ac:dyDescent="0.2">
      <c r="A47" t="str">
        <f>work!AW47</f>
        <v>HES5 15-25</v>
      </c>
      <c r="B47">
        <f>work!AX47</f>
        <v>8.7917195129979808E-2</v>
      </c>
      <c r="C47">
        <f>work!AY47</f>
        <v>1.5428642547798834</v>
      </c>
      <c r="D47">
        <f>work!AZ47</f>
        <v>5.0572115222003742</v>
      </c>
      <c r="E47">
        <f>work!BA47</f>
        <v>-26.779861312770606</v>
      </c>
    </row>
    <row r="48" spans="1:6" x14ac:dyDescent="0.2">
      <c r="A48" t="str">
        <f>work!AW48</f>
        <v>HES5 25+</v>
      </c>
      <c r="B48">
        <f>work!AX48</f>
        <v>7.7237777097472954E-2</v>
      </c>
      <c r="C48">
        <f>work!AY48</f>
        <v>0.84810499685821683</v>
      </c>
      <c r="D48">
        <f>work!AZ48</f>
        <v>4.8105602524753754</v>
      </c>
      <c r="E48">
        <f>work!BA48</f>
        <v>-25.131559205212145</v>
      </c>
    </row>
    <row r="49" spans="1:6" x14ac:dyDescent="0.2">
      <c r="A49" t="str">
        <f>work!AW49</f>
        <v>BRS4</v>
      </c>
      <c r="B49">
        <f>work!AX49</f>
        <v>-9.7769452964709147E-4</v>
      </c>
      <c r="C49">
        <f>work!AY49</f>
        <v>7.2143506885470193E-2</v>
      </c>
      <c r="D49">
        <f>work!AZ49</f>
        <v>-3.0437349255032</v>
      </c>
      <c r="E49">
        <f>work!BA49</f>
        <v>-12.135721778265697</v>
      </c>
      <c r="F49" t="s">
        <v>243</v>
      </c>
    </row>
    <row r="50" spans="1:6" x14ac:dyDescent="0.2">
      <c r="A50" t="str">
        <f>work!AW50</f>
        <v>HES6 15-25</v>
      </c>
      <c r="B50">
        <f>work!AX50</f>
        <v>7.8627605107286808E-2</v>
      </c>
      <c r="C50">
        <f>work!AY50</f>
        <v>0.97114739135748906</v>
      </c>
      <c r="D50">
        <f>work!AZ50</f>
        <v>4.9491486337971802</v>
      </c>
      <c r="E50">
        <f>work!BA50</f>
        <v>-25.699343016971728</v>
      </c>
    </row>
    <row r="51" spans="1:6" x14ac:dyDescent="0.2">
      <c r="A51" t="str">
        <f>work!AW51</f>
        <v>HES6 25+</v>
      </c>
      <c r="B51">
        <f>work!AX51</f>
        <v>7.3450832868628496E-2</v>
      </c>
      <c r="C51">
        <f>work!AY51</f>
        <v>0.69849525378101296</v>
      </c>
      <c r="D51">
        <f>work!AZ51</f>
        <v>4.1535883917849823</v>
      </c>
      <c r="E51">
        <f>work!BA51</f>
        <v>-24.580927313572847</v>
      </c>
    </row>
    <row r="52" spans="1:6" x14ac:dyDescent="0.2">
      <c r="A52" t="str">
        <f>work!AW52</f>
        <v>MKU18 0-5</v>
      </c>
      <c r="B52">
        <f>work!AX52</f>
        <v>1.3518751558131246</v>
      </c>
      <c r="C52">
        <f>work!AY52</f>
        <v>41.191999052940211</v>
      </c>
      <c r="D52">
        <f>work!AZ52</f>
        <v>0.60640001626852824</v>
      </c>
      <c r="E52">
        <f>work!BA52</f>
        <v>-29.670527321564418</v>
      </c>
    </row>
    <row r="53" spans="1:6" x14ac:dyDescent="0.2">
      <c r="A53" t="str">
        <f>work!AW53</f>
        <v>MKU18 5-15</v>
      </c>
      <c r="B53">
        <f>work!AX53</f>
        <v>0.48801420980249888</v>
      </c>
      <c r="C53">
        <f>work!AY53</f>
        <v>13.89667523490226</v>
      </c>
      <c r="D53">
        <f>work!AZ53</f>
        <v>1.7674162553132942</v>
      </c>
      <c r="E53">
        <f>work!BA53</f>
        <v>-28.44889141305795</v>
      </c>
    </row>
    <row r="54" spans="1:6" x14ac:dyDescent="0.2">
      <c r="A54" t="str">
        <f>work!AW54</f>
        <v>HES7 15-25</v>
      </c>
      <c r="B54">
        <f>work!AX54</f>
        <v>6.3196930694694869E-2</v>
      </c>
      <c r="C54">
        <f>work!AY54</f>
        <v>0.8132453819458616</v>
      </c>
      <c r="D54">
        <f>work!AZ54</f>
        <v>4.5090133803103134</v>
      </c>
      <c r="E54">
        <f>work!BA54</f>
        <v>-25.60383014974208</v>
      </c>
    </row>
    <row r="55" spans="1:6" x14ac:dyDescent="0.2">
      <c r="A55" t="str">
        <f>work!AW55</f>
        <v>HES7 25+</v>
      </c>
      <c r="B55">
        <f>work!AX55</f>
        <v>6.9833331471567867E-2</v>
      </c>
      <c r="C55">
        <f>work!AY55</f>
        <v>0.73418542444984836</v>
      </c>
      <c r="D55">
        <f>work!AZ55</f>
        <v>4.6976859880716493</v>
      </c>
      <c r="E55">
        <f>work!BA55</f>
        <v>-25.168659063779977</v>
      </c>
    </row>
    <row r="56" spans="1:6" x14ac:dyDescent="0.2">
      <c r="A56" t="str">
        <f>work!AW56</f>
        <v>MKU19 0-5</v>
      </c>
      <c r="B56">
        <f>work!AX56</f>
        <v>1.2762111509144078</v>
      </c>
      <c r="C56">
        <f>work!AY56</f>
        <v>37.873670002870831</v>
      </c>
      <c r="D56">
        <f>work!AZ56</f>
        <v>1.92975179162577</v>
      </c>
      <c r="E56">
        <f>work!BA56</f>
        <v>-28.70111540671051</v>
      </c>
    </row>
    <row r="57" spans="1:6" x14ac:dyDescent="0.2">
      <c r="A57" t="str">
        <f>work!AW57</f>
        <v>MKU19 5-15</v>
      </c>
      <c r="B57">
        <f>work!AX57</f>
        <v>8.1354675553987912E-2</v>
      </c>
      <c r="C57">
        <f>work!AY57</f>
        <v>1.1113217973622336</v>
      </c>
      <c r="D57">
        <f>work!AZ57</f>
        <v>2.5538285586439997</v>
      </c>
      <c r="E57">
        <f>work!BA57</f>
        <v>-25.941782877441533</v>
      </c>
    </row>
    <row r="58" spans="1:6" x14ac:dyDescent="0.2">
      <c r="A58" t="str">
        <f>work!AW58</f>
        <v>HES8 15-25</v>
      </c>
      <c r="B58">
        <f>work!AX58</f>
        <v>8.1059402615948947E-2</v>
      </c>
      <c r="C58">
        <f>work!AY58</f>
        <v>0.76491098109106181</v>
      </c>
      <c r="D58">
        <f>work!AZ58</f>
        <v>4.3589868458631624</v>
      </c>
      <c r="E58">
        <f>work!BA58</f>
        <v>-24.730785093095882</v>
      </c>
    </row>
    <row r="59" spans="1:6" x14ac:dyDescent="0.2">
      <c r="A59" t="str">
        <f>work!AW59</f>
        <v>HES8 25+</v>
      </c>
      <c r="B59">
        <f>work!AX59</f>
        <v>7.7221663234140356E-2</v>
      </c>
      <c r="C59">
        <f>work!AY59</f>
        <v>0.78253733679996762</v>
      </c>
      <c r="D59">
        <f>work!AZ59</f>
        <v>4.5432768452212331</v>
      </c>
      <c r="E59">
        <f>work!BA59</f>
        <v>-24.900094658224994</v>
      </c>
    </row>
    <row r="60" spans="1:6" x14ac:dyDescent="0.2">
      <c r="A60" t="str">
        <f>work!AW60</f>
        <v>MKU20 0-5</v>
      </c>
      <c r="B60">
        <f>work!AX60</f>
        <v>0.94549634285233874</v>
      </c>
      <c r="C60">
        <f>work!AY60</f>
        <v>28.232449264957975</v>
      </c>
      <c r="D60">
        <f>work!AZ60</f>
        <v>0.63661858475650912</v>
      </c>
      <c r="E60">
        <f>work!BA60</f>
        <v>-29.280295580933515</v>
      </c>
    </row>
    <row r="61" spans="1:6" x14ac:dyDescent="0.2">
      <c r="A61" t="str">
        <f>work!AW61</f>
        <v>BRS5</v>
      </c>
      <c r="B61">
        <f>work!AX61</f>
        <v>-9.7768156538124138E-4</v>
      </c>
      <c r="C61">
        <f>work!AY61</f>
        <v>7.2143511361773466E-2</v>
      </c>
      <c r="D61">
        <f>work!AZ61</f>
        <v>-3.0437349076854838</v>
      </c>
      <c r="E61">
        <f>work!BA61</f>
        <v>-12.135721778145424</v>
      </c>
      <c r="F61" t="s">
        <v>243</v>
      </c>
    </row>
    <row r="62" spans="1:6" x14ac:dyDescent="0.2">
      <c r="A62" t="str">
        <f>work!AW62</f>
        <v>MKU20 5-158</v>
      </c>
      <c r="B62">
        <f>work!AX62</f>
        <v>0.12108245732806856</v>
      </c>
      <c r="C62">
        <f>work!AY62</f>
        <v>2.5879053325339574</v>
      </c>
      <c r="D62">
        <f>work!AZ62</f>
        <v>2.0036112571085694</v>
      </c>
      <c r="E62">
        <f>work!BA62</f>
        <v>-27.504048755502446</v>
      </c>
    </row>
    <row r="63" spans="1:6" x14ac:dyDescent="0.2">
      <c r="A63" t="str">
        <f>work!AW63</f>
        <v>INU13 15-25</v>
      </c>
      <c r="B63">
        <f>work!AX63</f>
        <v>0.22421671673348242</v>
      </c>
      <c r="C63">
        <f>work!AY63</f>
        <v>4.7922840250153618</v>
      </c>
      <c r="D63">
        <f>work!AZ63</f>
        <v>4.9786990730197811</v>
      </c>
      <c r="E63">
        <f>work!BA63</f>
        <v>-27.324206628616157</v>
      </c>
    </row>
    <row r="64" spans="1:6" x14ac:dyDescent="0.2">
      <c r="A64" t="str">
        <f>work!AW64</f>
        <v>INU14 15+</v>
      </c>
      <c r="B64">
        <f>work!AX64</f>
        <v>0.42653390201687913</v>
      </c>
      <c r="C64">
        <f>work!AY64</f>
        <v>8.6454297794964106</v>
      </c>
      <c r="D64">
        <f>work!AZ64</f>
        <v>2.9260269888881827</v>
      </c>
      <c r="E64">
        <f>work!BA64</f>
        <v>-27.323645958899576</v>
      </c>
    </row>
    <row r="65" spans="1:6" x14ac:dyDescent="0.2">
      <c r="A65" t="str">
        <f>work!AW65</f>
        <v>MKT147 0-5</v>
      </c>
      <c r="B65">
        <f>work!AX65</f>
        <v>1.5753228880042462</v>
      </c>
      <c r="C65">
        <f>work!AY65</f>
        <v>43.650639820936959</v>
      </c>
      <c r="D65">
        <f>work!AZ65</f>
        <v>0.39181745171114507</v>
      </c>
      <c r="E65">
        <f>work!BA65</f>
        <v>-28.800817915871079</v>
      </c>
    </row>
    <row r="66" spans="1:6" x14ac:dyDescent="0.2">
      <c r="A66" t="str">
        <f>work!AW66</f>
        <v>MKT14 5-15</v>
      </c>
      <c r="B66">
        <f>work!AX66</f>
        <v>1.662186808694732</v>
      </c>
      <c r="C66">
        <f>work!AY66</f>
        <v>36.198488483001128</v>
      </c>
      <c r="D66">
        <f>work!AZ66</f>
        <v>1.8770374447329403</v>
      </c>
      <c r="E66">
        <f>work!BA66</f>
        <v>-27.854805903672201</v>
      </c>
    </row>
    <row r="67" spans="1:6" x14ac:dyDescent="0.2">
      <c r="A67" t="str">
        <f>work!AW67</f>
        <v>INU15 15+</v>
      </c>
      <c r="B67">
        <f>work!AX67</f>
        <v>-9.8526357907245113E-4</v>
      </c>
      <c r="C67">
        <f>work!AY67</f>
        <v>7.213503025294507E-2</v>
      </c>
      <c r="D67">
        <f>work!AZ67</f>
        <v>-3.0437349574892543</v>
      </c>
      <c r="E67">
        <f>work!BA67</f>
        <v>-12.135721779225822</v>
      </c>
      <c r="F67" t="s">
        <v>243</v>
      </c>
    </row>
    <row r="68" spans="1:6" x14ac:dyDescent="0.2">
      <c r="A68" t="str">
        <f>work!AW68</f>
        <v>INU1615-25</v>
      </c>
      <c r="B68">
        <f>work!AX68</f>
        <v>6.9641935129252514E-2</v>
      </c>
      <c r="C68">
        <f>work!AY68</f>
        <v>0.68325516311926815</v>
      </c>
      <c r="D68">
        <f>work!AZ68</f>
        <v>4.7553446670369102</v>
      </c>
      <c r="E68">
        <f>work!BA68</f>
        <v>-24.542433617851255</v>
      </c>
    </row>
    <row r="69" spans="1:6" x14ac:dyDescent="0.2">
      <c r="A69" t="str">
        <f>work!AW69</f>
        <v>MKT18 0-5</v>
      </c>
      <c r="B69">
        <f>work!AX69</f>
        <v>1.6422720724600888</v>
      </c>
      <c r="C69">
        <f>work!AY69</f>
        <v>44.15849224463097</v>
      </c>
      <c r="D69">
        <f>work!AZ69</f>
        <v>1.14593041717446</v>
      </c>
      <c r="E69">
        <f>work!BA69</f>
        <v>-28.597496702628643</v>
      </c>
    </row>
    <row r="70" spans="1:6" x14ac:dyDescent="0.2">
      <c r="A70" t="str">
        <f>work!AW70</f>
        <v>NKT18 5-15</v>
      </c>
      <c r="B70">
        <f>work!AX70</f>
        <v>1.0792167019080001</v>
      </c>
      <c r="C70">
        <f>work!AY70</f>
        <v>24.727250149349775</v>
      </c>
      <c r="D70">
        <f>work!AZ70</f>
        <v>2.4224635354172253</v>
      </c>
      <c r="E70">
        <f>work!BA70</f>
        <v>-27.554420245595519</v>
      </c>
    </row>
    <row r="71" spans="1:6" x14ac:dyDescent="0.2">
      <c r="A71" t="str">
        <f>work!AW71</f>
        <v>INU16 25+</v>
      </c>
      <c r="B71">
        <f>work!AX71</f>
        <v>7.155204278412565E-2</v>
      </c>
      <c r="C71">
        <f>work!AY71</f>
        <v>0.6590609828397801</v>
      </c>
      <c r="D71">
        <f>work!AZ71</f>
        <v>4.3337031700395787</v>
      </c>
      <c r="E71">
        <f>work!BA71</f>
        <v>-24.215241243037074</v>
      </c>
    </row>
    <row r="72" spans="1:6" x14ac:dyDescent="0.2">
      <c r="A72" t="str">
        <f>work!AW72</f>
        <v>INT13 15-25</v>
      </c>
      <c r="B72">
        <f>work!AX72</f>
        <v>0.69227021040040004</v>
      </c>
      <c r="C72">
        <f>work!AY72</f>
        <v>13.350905708848392</v>
      </c>
      <c r="D72">
        <f>work!AZ72</f>
        <v>3.0933715046733461</v>
      </c>
      <c r="E72">
        <f>work!BA72</f>
        <v>-27.571457374494241</v>
      </c>
    </row>
    <row r="73" spans="1:6" x14ac:dyDescent="0.2">
      <c r="A73" t="str">
        <f>work!AW73</f>
        <v>BRS6</v>
      </c>
      <c r="B73">
        <f>work!AX73</f>
        <v>0.19469489132650172</v>
      </c>
      <c r="C73">
        <f>work!AY73</f>
        <v>3.2375003535000291</v>
      </c>
      <c r="D73">
        <f>work!AZ73</f>
        <v>2.2456310093396472</v>
      </c>
      <c r="E73">
        <f>work!BA73</f>
        <v>-19.224668417129777</v>
      </c>
    </row>
    <row r="74" spans="1:6" x14ac:dyDescent="0.2">
      <c r="A74" t="str">
        <f>work!AW74</f>
        <v>MKT19 0-5</v>
      </c>
      <c r="B74">
        <f>work!AX74</f>
        <v>1.25002521551396</v>
      </c>
      <c r="C74">
        <f>work!AY74</f>
        <v>39.446297068479495</v>
      </c>
      <c r="D74">
        <f>work!AZ74</f>
        <v>-1.1432832473654488</v>
      </c>
      <c r="E74">
        <f>work!BA74</f>
        <v>-30.336920996494481</v>
      </c>
    </row>
    <row r="75" spans="1:6" x14ac:dyDescent="0.2">
      <c r="A75" t="str">
        <f>work!AW75</f>
        <v>MKT19 5-15</v>
      </c>
      <c r="B75">
        <f>work!AX75</f>
        <v>1.0715160731947835</v>
      </c>
      <c r="C75">
        <f>work!AY75</f>
        <v>44.0819835452685</v>
      </c>
      <c r="D75">
        <f>work!AZ75</f>
        <v>0.17392459229192314</v>
      </c>
      <c r="E75">
        <f>work!BA75</f>
        <v>-29.345981555761259</v>
      </c>
    </row>
    <row r="76" spans="1:6" x14ac:dyDescent="0.2">
      <c r="A76" t="str">
        <f>work!AW76</f>
        <v>INT13 25+</v>
      </c>
      <c r="B76">
        <f>work!AX76</f>
        <v>7.1079864088972794E-2</v>
      </c>
      <c r="C76">
        <f>work!AY76</f>
        <v>0.77328123474775068</v>
      </c>
      <c r="D76">
        <f>work!AZ76</f>
        <v>4.3064770118021025</v>
      </c>
      <c r="E76">
        <f>work!BA76</f>
        <v>-25.298865909248732</v>
      </c>
    </row>
    <row r="77" spans="1:6" x14ac:dyDescent="0.2">
      <c r="A77" t="str">
        <f>work!AW77</f>
        <v>INT14 15-25</v>
      </c>
      <c r="B77">
        <f>work!AX77</f>
        <v>7.3301672087039263E-2</v>
      </c>
      <c r="C77">
        <f>work!AY77</f>
        <v>0.71322166518256913</v>
      </c>
      <c r="D77">
        <f>work!AZ77</f>
        <v>5.0907963300906109</v>
      </c>
      <c r="E77">
        <f>work!BA77</f>
        <v>-24.564716171524729</v>
      </c>
    </row>
    <row r="78" spans="1:6" x14ac:dyDescent="0.2">
      <c r="A78" t="str">
        <f>work!AW78</f>
        <v>MKT20 0-5</v>
      </c>
      <c r="B78">
        <f>work!AX78</f>
        <v>1.3665298404751907</v>
      </c>
      <c r="C78">
        <f>work!AY78</f>
        <v>46.355097186048305</v>
      </c>
      <c r="D78">
        <f>work!AZ78</f>
        <v>-0.19164946637908117</v>
      </c>
      <c r="E78">
        <f>work!BA78</f>
        <v>-29.666605206857163</v>
      </c>
    </row>
    <row r="79" spans="1:6" x14ac:dyDescent="0.2">
      <c r="A79" t="str">
        <f>work!AW79</f>
        <v>MKT20 5-15</v>
      </c>
      <c r="B79">
        <f>work!AX79</f>
        <v>0.18432411324246337</v>
      </c>
      <c r="C79">
        <f>work!AY79</f>
        <v>3.6235834221159955</v>
      </c>
      <c r="D79">
        <f>work!AZ79</f>
        <v>2.1665444446928248</v>
      </c>
      <c r="E79">
        <f>work!BA79</f>
        <v>-27.132701837817269</v>
      </c>
    </row>
    <row r="80" spans="1:6" x14ac:dyDescent="0.2">
      <c r="A80" t="str">
        <f>work!AW80</f>
        <v>INT14 25+</v>
      </c>
      <c r="B80">
        <f>work!AX80</f>
        <v>8.4498211502025994E-2</v>
      </c>
      <c r="C80">
        <f>work!AY80</f>
        <v>0.88494369640846082</v>
      </c>
      <c r="D80">
        <f>work!AZ80</f>
        <v>4.7539172348263881</v>
      </c>
      <c r="E80">
        <f>work!BA80</f>
        <v>-24.937712825387273</v>
      </c>
    </row>
    <row r="81" spans="1:6" x14ac:dyDescent="0.2">
      <c r="A81" t="str">
        <f>work!AW81</f>
        <v>INT15 15-25</v>
      </c>
      <c r="B81">
        <f>work!AX81</f>
        <v>6.5447842892690303E-2</v>
      </c>
      <c r="C81">
        <f>work!AY81</f>
        <v>0.73848810474678139</v>
      </c>
      <c r="D81">
        <f>work!AZ81</f>
        <v>4.2132388954466427</v>
      </c>
      <c r="E81">
        <f>work!BA81</f>
        <v>-25.450177151523818</v>
      </c>
    </row>
    <row r="82" spans="1:6" x14ac:dyDescent="0.2">
      <c r="A82" t="str">
        <f>work!AW82</f>
        <v>MKS17 0-5</v>
      </c>
      <c r="B82">
        <f>work!AX82</f>
        <v>1.2056862400080206</v>
      </c>
      <c r="C82">
        <f>work!AY82</f>
        <v>34.14616621929747</v>
      </c>
      <c r="D82">
        <f>work!AZ82</f>
        <v>0.53400683557449968</v>
      </c>
      <c r="E82">
        <f>work!BA82</f>
        <v>-27.957857540543777</v>
      </c>
    </row>
    <row r="83" spans="1:6" x14ac:dyDescent="0.2">
      <c r="A83" t="str">
        <f>work!AW83</f>
        <v>MKS17 5-15</v>
      </c>
      <c r="B83">
        <f>work!AX83</f>
        <v>0.50292517765423739</v>
      </c>
      <c r="C83">
        <f>work!AY83</f>
        <v>8.6743244357274314</v>
      </c>
      <c r="D83">
        <f>work!AZ83</f>
        <v>2.4781282561381945</v>
      </c>
      <c r="E83">
        <f>work!BA83</f>
        <v>-27.319337210120455</v>
      </c>
    </row>
    <row r="84" spans="1:6" x14ac:dyDescent="0.2">
      <c r="A84" t="str">
        <f>work!AW84</f>
        <v>INT15 25+</v>
      </c>
      <c r="B84">
        <f>work!AX84</f>
        <v>6.6537339215522101E-2</v>
      </c>
      <c r="C84">
        <f>work!AY84</f>
        <v>0.71348184573384299</v>
      </c>
      <c r="D84">
        <f>work!AZ84</f>
        <v>4.0992061869038467</v>
      </c>
      <c r="E84">
        <f>work!BA84</f>
        <v>-24.935337284314624</v>
      </c>
    </row>
    <row r="85" spans="1:6" x14ac:dyDescent="0.2">
      <c r="A85" t="str">
        <f>work!AW85</f>
        <v>BRS7</v>
      </c>
      <c r="B85">
        <f>work!AX85</f>
        <v>-9.7769867715713867E-4</v>
      </c>
      <c r="C85">
        <f>work!AY85</f>
        <v>7.2143512186005773E-2</v>
      </c>
      <c r="D85">
        <f>work!AZ85</f>
        <v>-3.0437349255032</v>
      </c>
      <c r="E85">
        <f>work!BA85</f>
        <v>-12.135721777904708</v>
      </c>
      <c r="F85" t="s">
        <v>243</v>
      </c>
    </row>
    <row r="86" spans="1:6" x14ac:dyDescent="0.2">
      <c r="A86" t="str">
        <f>work!AW86</f>
        <v>INT16 15-25</v>
      </c>
      <c r="B86">
        <f>work!AX86</f>
        <v>7.0205533087180361E-2</v>
      </c>
      <c r="C86">
        <f>work!AY86</f>
        <v>0.81012904306169364</v>
      </c>
      <c r="D86">
        <f>work!AZ86</f>
        <v>4.3307929786353832</v>
      </c>
      <c r="E86">
        <f>work!BA86</f>
        <v>-25.506118457955335</v>
      </c>
    </row>
    <row r="87" spans="1:6" x14ac:dyDescent="0.2">
      <c r="A87" t="str">
        <f>work!AW87</f>
        <v>MKS18 0-5</v>
      </c>
      <c r="B87">
        <f>work!AX87</f>
        <v>-9.5277379732390012E-4</v>
      </c>
      <c r="C87">
        <f>work!AY87</f>
        <v>7.2171444167348761E-2</v>
      </c>
      <c r="D87">
        <f>work!AZ87</f>
        <v>-3.0437349041178412</v>
      </c>
      <c r="E87">
        <f>work!BA87</f>
        <v>-12.135721777301912</v>
      </c>
      <c r="F87" t="s">
        <v>243</v>
      </c>
    </row>
    <row r="88" spans="1:6" x14ac:dyDescent="0.2">
      <c r="A88" t="str">
        <f>work!AW88</f>
        <v>MKS18 5-15</v>
      </c>
      <c r="B88">
        <f>work!AX88</f>
        <v>0.1917353386449821</v>
      </c>
      <c r="C88">
        <f>work!AY88</f>
        <v>3.6608431961060379</v>
      </c>
      <c r="D88">
        <f>work!AZ88</f>
        <v>2.780316830462322</v>
      </c>
      <c r="E88">
        <f>work!BA88</f>
        <v>-27.526561743237661</v>
      </c>
    </row>
    <row r="89" spans="1:6" x14ac:dyDescent="0.2">
      <c r="A89" t="str">
        <f>work!AW89</f>
        <v>Apple Leaves @ 2.0</v>
      </c>
      <c r="B89">
        <f>work!AX89</f>
        <v>2.2573799780566319</v>
      </c>
      <c r="C89">
        <f>work!AY89</f>
        <v>47.389703441674307</v>
      </c>
      <c r="D89">
        <f>work!AZ89</f>
        <v>0.68090126299624132</v>
      </c>
      <c r="E89">
        <f>work!BA89</f>
        <v>-26.932944493834427</v>
      </c>
    </row>
    <row r="90" spans="1:6" x14ac:dyDescent="0.2">
      <c r="A90" t="str">
        <f>work!AW90</f>
        <v>Acetanilide</v>
      </c>
      <c r="B90">
        <f>work!AX90</f>
        <v>10.27930697691545</v>
      </c>
      <c r="C90">
        <f>work!AY90</f>
        <v>68.89098854871655</v>
      </c>
      <c r="D90">
        <f>work!AZ90</f>
        <v>-4.0818451884257242E-2</v>
      </c>
      <c r="E90">
        <f>work!BA90</f>
        <v>-30.152354791220027</v>
      </c>
    </row>
    <row r="91" spans="1:6" x14ac:dyDescent="0.2">
      <c r="A91" t="str">
        <f>work!AW91</f>
        <v>Sulfanilamide 4</v>
      </c>
      <c r="B91">
        <f>work!AX91</f>
        <v>16.263519530627917</v>
      </c>
      <c r="C91">
        <f>work!AY91</f>
        <v>41.872892964312975</v>
      </c>
      <c r="D91">
        <f>work!AZ91</f>
        <v>-2.6285125326661882</v>
      </c>
      <c r="E91">
        <f>work!BA91</f>
        <v>-29.021868297817946</v>
      </c>
    </row>
    <row r="92" spans="1:6" x14ac:dyDescent="0.2">
      <c r="A92" t="str">
        <f>work!AW92</f>
        <v>Glycine 6</v>
      </c>
      <c r="B92">
        <f>work!AX92</f>
        <v>18.495801924801111</v>
      </c>
      <c r="C92">
        <f>work!AY92</f>
        <v>32.067942316613554</v>
      </c>
      <c r="D92">
        <f>work!AZ92</f>
        <v>4.7882195570700965</v>
      </c>
      <c r="E92">
        <f>work!BA92</f>
        <v>-40.14244340764035</v>
      </c>
    </row>
    <row r="93" spans="1:6" x14ac:dyDescent="0.2">
      <c r="A93" t="str">
        <f>work!AW93</f>
        <v>Methionine 10</v>
      </c>
      <c r="B93">
        <f>work!AX93</f>
        <v>9.4564442711962808</v>
      </c>
      <c r="C93">
        <f>work!AY93</f>
        <v>40.084106094070876</v>
      </c>
      <c r="D93">
        <f>work!AZ93</f>
        <v>-1.8275517097179339</v>
      </c>
      <c r="E93">
        <f>work!BA93</f>
        <v>-29.309482089652914</v>
      </c>
    </row>
    <row r="94" spans="1:6" x14ac:dyDescent="0.2">
      <c r="A94" t="str">
        <f>work!AW94</f>
        <v>USGS-40</v>
      </c>
      <c r="B94">
        <f>work!AX94</f>
        <v>9.5590714145129603</v>
      </c>
      <c r="C94">
        <f>work!AY94</f>
        <v>40.705565170278533</v>
      </c>
      <c r="D94">
        <f>work!AZ94</f>
        <v>-4.5545594424394373</v>
      </c>
      <c r="E94">
        <f>work!BA94</f>
        <v>-26.297686066169849</v>
      </c>
    </row>
    <row r="95" spans="1:6" x14ac:dyDescent="0.2">
      <c r="A95" t="str">
        <f>work!AW95</f>
        <v>Peach leaves @ 2.0</v>
      </c>
      <c r="B95">
        <f>work!AX95</f>
        <v>2.9244582582358625</v>
      </c>
      <c r="C95">
        <f>work!AY95</f>
        <v>46.258372708892907</v>
      </c>
      <c r="D95">
        <f>work!AZ95</f>
        <v>1.932164336276174</v>
      </c>
      <c r="E95">
        <f>work!BA95</f>
        <v>-26.061915514620644</v>
      </c>
    </row>
    <row r="96" spans="1:6" x14ac:dyDescent="0.2">
      <c r="A96" t="str">
        <f>work!AW96</f>
        <v>USGS-41</v>
      </c>
      <c r="B96">
        <f>work!AX96</f>
        <v>9.7776969826188047</v>
      </c>
      <c r="C96">
        <f>work!AY96</f>
        <v>41.565705748610675</v>
      </c>
      <c r="D96">
        <f>work!AZ96</f>
        <v>47.562395106163265</v>
      </c>
      <c r="E96">
        <f>work!BA96</f>
        <v>37.63060158079049</v>
      </c>
    </row>
    <row r="97" spans="1:5" x14ac:dyDescent="0.2">
      <c r="A97" t="str">
        <f>work!AW97</f>
        <v>BRS8</v>
      </c>
      <c r="B97">
        <f>work!AX97</f>
        <v>0.19929206293075694</v>
      </c>
      <c r="C97">
        <f>work!AY97</f>
        <v>3.3046530840707082</v>
      </c>
      <c r="D97">
        <f>work!AZ97</f>
        <v>3.1018430049229031</v>
      </c>
      <c r="E97">
        <f>work!BA97</f>
        <v>-19.528942185652824</v>
      </c>
    </row>
    <row r="98" spans="1:5" x14ac:dyDescent="0.2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</row>
    <row r="99" spans="1:5" x14ac:dyDescent="0.2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</row>
    <row r="100" spans="1:5" x14ac:dyDescent="0.2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</row>
    <row r="101" spans="1:5" x14ac:dyDescent="0.2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</row>
    <row r="102" spans="1:5" x14ac:dyDescent="0.2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</row>
    <row r="103" spans="1:5" x14ac:dyDescent="0.2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</row>
    <row r="104" spans="1:5" x14ac:dyDescent="0.2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</row>
    <row r="105" spans="1:5" x14ac:dyDescent="0.2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</row>
    <row r="106" spans="1:5" x14ac:dyDescent="0.2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</row>
    <row r="107" spans="1:5" x14ac:dyDescent="0.2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</row>
    <row r="108" spans="1:5" x14ac:dyDescent="0.2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</row>
    <row r="109" spans="1:5" x14ac:dyDescent="0.2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</row>
    <row r="110" spans="1:5" x14ac:dyDescent="0.2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</row>
    <row r="111" spans="1:5" x14ac:dyDescent="0.2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</row>
    <row r="112" spans="1:5" x14ac:dyDescent="0.2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</row>
    <row r="113" spans="1:5" x14ac:dyDescent="0.2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</row>
    <row r="114" spans="1:5" x14ac:dyDescent="0.2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</row>
    <row r="115" spans="1:5" x14ac:dyDescent="0.2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</row>
    <row r="116" spans="1:5" x14ac:dyDescent="0.2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</row>
    <row r="117" spans="1:5" x14ac:dyDescent="0.2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</row>
    <row r="118" spans="1:5" x14ac:dyDescent="0.2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</row>
    <row r="119" spans="1:5" x14ac:dyDescent="0.2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</row>
    <row r="120" spans="1:5" x14ac:dyDescent="0.2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</row>
    <row r="121" spans="1:5" x14ac:dyDescent="0.2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</row>
    <row r="122" spans="1:5" x14ac:dyDescent="0.2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</row>
    <row r="123" spans="1:5" x14ac:dyDescent="0.2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</row>
    <row r="124" spans="1:5" x14ac:dyDescent="0.2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</row>
    <row r="125" spans="1:5" x14ac:dyDescent="0.2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</row>
    <row r="126" spans="1:5" x14ac:dyDescent="0.2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</row>
    <row r="127" spans="1:5" x14ac:dyDescent="0.2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</row>
    <row r="128" spans="1:5" x14ac:dyDescent="0.2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</row>
    <row r="129" spans="1:5" x14ac:dyDescent="0.2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</row>
    <row r="130" spans="1:5" x14ac:dyDescent="0.2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</row>
    <row r="131" spans="1:5" x14ac:dyDescent="0.2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</row>
    <row r="132" spans="1:5" x14ac:dyDescent="0.2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</row>
    <row r="133" spans="1:5" x14ac:dyDescent="0.2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</row>
    <row r="134" spans="1:5" x14ac:dyDescent="0.2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</row>
    <row r="135" spans="1:5" x14ac:dyDescent="0.2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</row>
    <row r="136" spans="1:5" x14ac:dyDescent="0.2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</row>
    <row r="137" spans="1:5" x14ac:dyDescent="0.2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</row>
    <row r="138" spans="1:5" x14ac:dyDescent="0.2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</row>
    <row r="139" spans="1:5" x14ac:dyDescent="0.2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</row>
    <row r="140" spans="1:5" x14ac:dyDescent="0.2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</row>
    <row r="141" spans="1:5" x14ac:dyDescent="0.2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</row>
    <row r="142" spans="1:5" x14ac:dyDescent="0.2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</row>
    <row r="143" spans="1:5" x14ac:dyDescent="0.2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</row>
    <row r="144" spans="1:5" x14ac:dyDescent="0.2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</row>
    <row r="145" spans="1:5" x14ac:dyDescent="0.2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</row>
    <row r="146" spans="1:5" x14ac:dyDescent="0.2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</row>
    <row r="147" spans="1:5" x14ac:dyDescent="0.2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</row>
    <row r="148" spans="1:5" x14ac:dyDescent="0.2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</row>
    <row r="149" spans="1:5" x14ac:dyDescent="0.2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</row>
    <row r="150" spans="1:5" x14ac:dyDescent="0.2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</row>
    <row r="151" spans="1:5" x14ac:dyDescent="0.2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</row>
    <row r="152" spans="1:5" x14ac:dyDescent="0.2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</row>
    <row r="153" spans="1:5" x14ac:dyDescent="0.2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</row>
    <row r="154" spans="1:5" x14ac:dyDescent="0.2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</row>
    <row r="155" spans="1:5" x14ac:dyDescent="0.2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</row>
    <row r="156" spans="1:5" x14ac:dyDescent="0.2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</row>
    <row r="157" spans="1:5" x14ac:dyDescent="0.2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</row>
    <row r="158" spans="1:5" x14ac:dyDescent="0.2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</row>
    <row r="159" spans="1:5" x14ac:dyDescent="0.2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</row>
    <row r="160" spans="1:5" x14ac:dyDescent="0.2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</row>
    <row r="161" spans="1:5" x14ac:dyDescent="0.2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</row>
    <row r="162" spans="1:5" x14ac:dyDescent="0.2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</row>
    <row r="163" spans="1:5" x14ac:dyDescent="0.2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</row>
    <row r="164" spans="1:5" x14ac:dyDescent="0.2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</row>
    <row r="165" spans="1:5" x14ac:dyDescent="0.2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</row>
    <row r="166" spans="1:5" x14ac:dyDescent="0.2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</row>
    <row r="167" spans="1:5" x14ac:dyDescent="0.2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</row>
    <row r="168" spans="1:5" x14ac:dyDescent="0.2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</row>
    <row r="169" spans="1:5" x14ac:dyDescent="0.2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</row>
    <row r="170" spans="1:5" x14ac:dyDescent="0.2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</row>
    <row r="171" spans="1:5" x14ac:dyDescent="0.2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</row>
    <row r="172" spans="1:5" x14ac:dyDescent="0.2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</row>
    <row r="173" spans="1:5" x14ac:dyDescent="0.2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</row>
    <row r="174" spans="1:5" x14ac:dyDescent="0.2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</row>
    <row r="175" spans="1:5" x14ac:dyDescent="0.2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</row>
    <row r="176" spans="1:5" x14ac:dyDescent="0.2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</row>
    <row r="177" spans="1:5" x14ac:dyDescent="0.2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</row>
    <row r="178" spans="1:5" x14ac:dyDescent="0.2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</row>
    <row r="179" spans="1:5" x14ac:dyDescent="0.2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</row>
    <row r="180" spans="1:5" x14ac:dyDescent="0.2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</row>
    <row r="181" spans="1:5" x14ac:dyDescent="0.2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</row>
    <row r="182" spans="1:5" x14ac:dyDescent="0.2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</row>
    <row r="183" spans="1:5" x14ac:dyDescent="0.2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</row>
    <row r="184" spans="1:5" x14ac:dyDescent="0.2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</row>
    <row r="185" spans="1:5" x14ac:dyDescent="0.2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</row>
    <row r="186" spans="1:5" x14ac:dyDescent="0.2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</row>
    <row r="187" spans="1:5" x14ac:dyDescent="0.2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</row>
    <row r="188" spans="1:5" x14ac:dyDescent="0.2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</row>
    <row r="189" spans="1:5" x14ac:dyDescent="0.2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</row>
    <row r="190" spans="1:5" x14ac:dyDescent="0.2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</row>
    <row r="191" spans="1:5" x14ac:dyDescent="0.2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</row>
    <row r="192" spans="1:5" x14ac:dyDescent="0.2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</row>
    <row r="193" spans="1:5" x14ac:dyDescent="0.2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</row>
    <row r="194" spans="1:5" x14ac:dyDescent="0.2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</row>
    <row r="195" spans="1:5" x14ac:dyDescent="0.2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</row>
    <row r="196" spans="1:5" x14ac:dyDescent="0.2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</row>
    <row r="197" spans="1:5" x14ac:dyDescent="0.2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</row>
    <row r="198" spans="1:5" x14ac:dyDescent="0.2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</row>
    <row r="199" spans="1:5" x14ac:dyDescent="0.2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</row>
    <row r="200" spans="1:5" x14ac:dyDescent="0.2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</row>
    <row r="201" spans="1:5" x14ac:dyDescent="0.2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</row>
    <row r="202" spans="1:5" x14ac:dyDescent="0.2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</row>
    <row r="203" spans="1:5" x14ac:dyDescent="0.2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</row>
    <row r="204" spans="1:5" x14ac:dyDescent="0.2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</row>
    <row r="205" spans="1:5" x14ac:dyDescent="0.2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</row>
    <row r="206" spans="1:5" x14ac:dyDescent="0.2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</row>
    <row r="207" spans="1:5" x14ac:dyDescent="0.2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</row>
    <row r="208" spans="1:5" x14ac:dyDescent="0.2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</row>
    <row r="209" spans="1:5" x14ac:dyDescent="0.2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</row>
    <row r="210" spans="1:5" x14ac:dyDescent="0.2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</row>
    <row r="211" spans="1:5" x14ac:dyDescent="0.2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</row>
    <row r="212" spans="1:5" x14ac:dyDescent="0.2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</row>
    <row r="213" spans="1:5" x14ac:dyDescent="0.2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</row>
    <row r="214" spans="1:5" x14ac:dyDescent="0.2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</row>
    <row r="215" spans="1:5" x14ac:dyDescent="0.2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</row>
    <row r="216" spans="1:5" x14ac:dyDescent="0.2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</row>
    <row r="217" spans="1:5" x14ac:dyDescent="0.2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</row>
    <row r="218" spans="1:5" x14ac:dyDescent="0.2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</row>
    <row r="219" spans="1:5" x14ac:dyDescent="0.2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</row>
    <row r="220" spans="1:5" x14ac:dyDescent="0.2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</row>
    <row r="221" spans="1:5" x14ac:dyDescent="0.2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</row>
    <row r="222" spans="1:5" x14ac:dyDescent="0.2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</row>
    <row r="223" spans="1:5" x14ac:dyDescent="0.2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</row>
    <row r="224" spans="1:5" x14ac:dyDescent="0.2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</row>
    <row r="225" spans="1:5" x14ac:dyDescent="0.2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</row>
    <row r="226" spans="1:5" x14ac:dyDescent="0.2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</row>
    <row r="227" spans="1:5" x14ac:dyDescent="0.2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</row>
    <row r="228" spans="1:5" x14ac:dyDescent="0.2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</row>
    <row r="229" spans="1:5" x14ac:dyDescent="0.2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</row>
    <row r="230" spans="1:5" x14ac:dyDescent="0.2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</row>
    <row r="231" spans="1:5" x14ac:dyDescent="0.2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</row>
    <row r="232" spans="1:5" x14ac:dyDescent="0.2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</row>
    <row r="233" spans="1:5" x14ac:dyDescent="0.2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</row>
    <row r="234" spans="1:5" x14ac:dyDescent="0.2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</row>
    <row r="235" spans="1:5" x14ac:dyDescent="0.2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</row>
    <row r="236" spans="1:5" x14ac:dyDescent="0.2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</row>
    <row r="237" spans="1:5" x14ac:dyDescent="0.2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</row>
    <row r="238" spans="1:5" x14ac:dyDescent="0.2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</row>
    <row r="239" spans="1:5" x14ac:dyDescent="0.2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</row>
    <row r="240" spans="1:5" x14ac:dyDescent="0.2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</row>
    <row r="241" spans="1:5" x14ac:dyDescent="0.2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</row>
    <row r="242" spans="1:5" x14ac:dyDescent="0.2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</row>
    <row r="243" spans="1:5" x14ac:dyDescent="0.2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</row>
    <row r="244" spans="1:5" x14ac:dyDescent="0.2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</row>
    <row r="245" spans="1:5" x14ac:dyDescent="0.2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</row>
    <row r="246" spans="1:5" x14ac:dyDescent="0.2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</row>
    <row r="247" spans="1:5" x14ac:dyDescent="0.2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</row>
    <row r="248" spans="1:5" x14ac:dyDescent="0.2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</row>
    <row r="249" spans="1:5" x14ac:dyDescent="0.2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</row>
    <row r="250" spans="1:5" x14ac:dyDescent="0.2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K250"/>
  <sheetViews>
    <sheetView tabSelected="1" topLeftCell="AE7" workbookViewId="0">
      <selection activeCell="AN52" sqref="AN52"/>
    </sheetView>
  </sheetViews>
  <sheetFormatPr defaultRowHeight="12.75" x14ac:dyDescent="0.2"/>
  <cols>
    <col min="3" max="3" width="11.28515625" customWidth="1"/>
    <col min="22" max="22" width="12" bestFit="1" customWidth="1"/>
    <col min="24" max="24" width="12.85546875" bestFit="1" customWidth="1"/>
    <col min="26" max="26" width="12.28515625" bestFit="1" customWidth="1"/>
  </cols>
  <sheetData>
    <row r="1" spans="1:63" x14ac:dyDescent="0.2">
      <c r="A1" t="s">
        <v>0</v>
      </c>
      <c r="B1" t="s">
        <v>116</v>
      </c>
      <c r="C1" t="s">
        <v>117</v>
      </c>
      <c r="D1" t="s">
        <v>2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L1" s="2" t="s">
        <v>124</v>
      </c>
      <c r="O1" t="s">
        <v>160</v>
      </c>
      <c r="P1" t="s">
        <v>161</v>
      </c>
      <c r="R1" t="s">
        <v>162</v>
      </c>
      <c r="S1" t="s">
        <v>163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164</v>
      </c>
      <c r="AA1" t="s">
        <v>165</v>
      </c>
      <c r="AC1" t="s">
        <v>166</v>
      </c>
      <c r="AD1" t="str">
        <f>C1</f>
        <v>Identifier</v>
      </c>
      <c r="AE1" t="s">
        <v>167</v>
      </c>
      <c r="AF1" t="s">
        <v>168</v>
      </c>
      <c r="AG1" t="s">
        <v>169</v>
      </c>
      <c r="AH1" t="s">
        <v>170</v>
      </c>
      <c r="AJ1" t="s">
        <v>171</v>
      </c>
      <c r="AR1" t="s">
        <v>172</v>
      </c>
      <c r="AW1" t="s">
        <v>173</v>
      </c>
      <c r="AX1" t="s">
        <v>174</v>
      </c>
      <c r="AY1" t="s">
        <v>175</v>
      </c>
      <c r="AZ1" t="s">
        <v>122</v>
      </c>
      <c r="BA1" t="s">
        <v>123</v>
      </c>
      <c r="BC1" t="s">
        <v>242</v>
      </c>
      <c r="BJ1" t="s">
        <v>176</v>
      </c>
      <c r="BK1" t="s">
        <v>177</v>
      </c>
    </row>
    <row r="2" spans="1:63" x14ac:dyDescent="0.2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5216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4213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125</v>
      </c>
      <c r="O2">
        <f t="shared" ref="O2:O21" si="0">IF(M7&gt;0,INDEX($I$2:$I$250,M7))</f>
        <v>5.9690000000000003</v>
      </c>
      <c r="P2">
        <f t="shared" ref="P2:P21" si="1">IF(M7&gt;0,INDEX($J$2:$J$250,M7))</f>
        <v>-7.2380000000000004</v>
      </c>
      <c r="R2">
        <f>IF(A2&gt;0,G2*$O$28/E2,0)</f>
        <v>1.0007429064417179E-3</v>
      </c>
      <c r="S2">
        <f t="shared" ref="S2:S65" si="2">IF(A2&gt;0,H2*$P$28/F2,0)</f>
        <v>9.985708916844688E-5</v>
      </c>
      <c r="U2">
        <f>D3</f>
        <v>0.502</v>
      </c>
      <c r="V2">
        <f>R3</f>
        <v>9.8957010661694405</v>
      </c>
      <c r="W2">
        <f>I3</f>
        <v>5.0510000000000002</v>
      </c>
      <c r="X2">
        <f>S3</f>
        <v>14.080155422103598</v>
      </c>
      <c r="Y2">
        <f>J3</f>
        <v>-13.762</v>
      </c>
      <c r="Z2">
        <f>V2/U2</f>
        <v>19.712551924640319</v>
      </c>
      <c r="AA2">
        <f>X2/U2</f>
        <v>28.0481183707243</v>
      </c>
      <c r="AD2" t="str">
        <f>IF(A2&gt;0,C2,0)</f>
        <v>Bypass2</v>
      </c>
      <c r="AE2">
        <f>IF(A2&gt;0,(R2)/(R2^2*$V$10+R2*$V$11+$V$12)*$V$14,0)</f>
        <v>1.0536293498237003E-3</v>
      </c>
      <c r="AF2">
        <f>IF(A2&gt;0,IF(S2&gt;$X$4,(S2)/(S2^2*$X$10+S2*$X$11+$X$12)*$X$14,(S2)/(S2^2*$Z$10+S2*$Z$11+$Z$12)*$Z$14),0)</f>
        <v>1.0859914884568585E-4</v>
      </c>
      <c r="AG2">
        <f>IF(A2&gt;0,(I2)-(R2^2*$W$10+R2*$W$11+$W$12)+$W$14,0)</f>
        <v>-0.85260615238922544</v>
      </c>
      <c r="AH2">
        <f>IF(A2&gt;0,(J2)-(S2^2*$Y$10+S2*$Y$11+$Y$12)+$Y$14,0)</f>
        <v>-0.48031663728881924</v>
      </c>
      <c r="AJ2" t="s">
        <v>174</v>
      </c>
      <c r="AO2" t="s">
        <v>178</v>
      </c>
      <c r="AP2" t="s">
        <v>179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E2" t="s">
        <v>180</v>
      </c>
    </row>
    <row r="3" spans="1:63" x14ac:dyDescent="0.2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0.502</v>
      </c>
      <c r="E3">
        <f>IF(A3&gt;0,IF(INDEX(original!$P$2:$P$1500,B3+1)=2,INDEX(original!$A$2:$K$1500,B3+1,5),1000000),0)</f>
        <v>5229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4215</v>
      </c>
      <c r="G3">
        <f>IF(A3&gt;0,IF(INDEX(original!$P$2:$P$1500,B3+2)=3,INDEX(original!$A$2:$K$1500,B3+2,9),0.001),0)</f>
        <v>9.9130000000000003</v>
      </c>
      <c r="H3">
        <f>IF(A3&gt;0,IF(INDEX(original!$P$2:$P$1500,B3+2)=4,INDEX(original!$A$2:$K$1500,B3+2,9),IF(INDEX(original!$P$2:$P$1500,B3+3)=4,INDEX(original!$A$2:$K$1500,B3+3,9),0.0001)),0)</f>
        <v>14.106999999999999</v>
      </c>
      <c r="I3">
        <f>IF(A3&gt;0,IF(INDEX(original!$P$2:$P$1500,B3+2)=3,INDEX(original!$A$2:$K$1500,B3+2,10),0.001),)</f>
        <v>5.0510000000000002</v>
      </c>
      <c r="J3">
        <f>IF(A3&gt;0,IF(INDEX(original!$P$2:$P$1500,B3+2)=4,INDEX(original!$A$2:$K$1500,B3+2,11),IF(INDEX(original!$P$2:$P$1500,B3+3)=4,INDEX(original!$A$2:$K$1500,B3+3,11),0.001)),0)</f>
        <v>-13.762</v>
      </c>
      <c r="L3" t="s">
        <v>126</v>
      </c>
      <c r="M3">
        <v>1</v>
      </c>
      <c r="O3">
        <f t="shared" si="0"/>
        <v>6.0229999999999997</v>
      </c>
      <c r="P3">
        <f t="shared" si="1"/>
        <v>-7.39</v>
      </c>
      <c r="R3">
        <f t="shared" ref="R3:R66" si="3">IF(A3&gt;0,G3*$O$28/E3,0)</f>
        <v>9.8957010661694405</v>
      </c>
      <c r="S3">
        <f t="shared" si="2"/>
        <v>14.080155422103598</v>
      </c>
      <c r="U3">
        <f t="shared" ref="U3:U8" si="4">D4</f>
        <v>1.8</v>
      </c>
      <c r="V3">
        <f t="shared" ref="V3:V8" si="5">R4</f>
        <v>37.620063708133969</v>
      </c>
      <c r="W3">
        <f t="shared" ref="W3:W8" si="6">I4</f>
        <v>4.4969999999999999</v>
      </c>
      <c r="X3">
        <f t="shared" ref="X3:X8" si="7">S4</f>
        <v>53.246170040905859</v>
      </c>
      <c r="Y3">
        <f t="shared" ref="Y3:Y8" si="8">J4</f>
        <v>-14.125999999999999</v>
      </c>
      <c r="Z3">
        <f t="shared" ref="Z3:Z8" si="9">V3/U3</f>
        <v>20.900035393407759</v>
      </c>
      <c r="AA3">
        <f t="shared" ref="AA3:AA8" si="10">X3/U3</f>
        <v>29.581205578281033</v>
      </c>
      <c r="AD3" t="str">
        <f t="shared" ref="AD3:AD66" si="11">IF(A3&gt;0,C3,0)</f>
        <v>Peach0.5</v>
      </c>
      <c r="AE3">
        <f t="shared" ref="AE3:AE66" si="12">IF(A3&gt;0,(R3)/(R3^2*$V$10+R3*$V$11+$V$12)*$V$14,0)</f>
        <v>10.276542747239379</v>
      </c>
      <c r="AF3">
        <f t="shared" ref="AF3:AF66" si="13">IF(A3&gt;0,IF(S3&gt;$X$4,(S3)/(S3^2*$X$10+S3*$X$11+$X$12)*$X$14,(S3)/(S3^2*$Z$10+S3*$Z$11+$Z$12)*$Z$14),0)</f>
        <v>14.800405181153719</v>
      </c>
      <c r="AG3">
        <f t="shared" ref="AG3:AG66" si="14">IF(A3&gt;0,(I3)-(R3^2*$W$10+R3*$W$11+$W$12)+$W$14,0)</f>
        <v>4.3747986658382958</v>
      </c>
      <c r="AH3">
        <f t="shared" ref="AH3:AH66" si="15">IF(A3&gt;0,(J3)-(S3^2*$Y$10+S3*$Y$11+$Y$12)+$Y$14,0)</f>
        <v>-14.171928843459609</v>
      </c>
      <c r="AJ3" s="3" t="s">
        <v>181</v>
      </c>
      <c r="AK3" s="4" t="s">
        <v>182</v>
      </c>
      <c r="AL3" s="4" t="s">
        <v>183</v>
      </c>
      <c r="AM3" s="4" t="s">
        <v>184</v>
      </c>
      <c r="AN3" s="4" t="s">
        <v>185</v>
      </c>
      <c r="AO3" s="4" t="s">
        <v>186</v>
      </c>
      <c r="AP3" s="4" t="s">
        <v>184</v>
      </c>
      <c r="AR3" s="5" t="s">
        <v>187</v>
      </c>
      <c r="AS3" s="4" t="s">
        <v>188</v>
      </c>
      <c r="AT3" s="4" t="s">
        <v>189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2.9028472338724192</v>
      </c>
      <c r="AY3">
        <f>IF(D3&gt;0,IF($M$2=1,($AN$50*AF3/D3-$AN$52)/$AN$51*46.6/(($AN$50*AVERAGE($AM$22:$AM$29)/AVERAGE($AK$22:$AK$29)-$AN$52)/$AN$51),($AN$50*AF3/D3-$AN$52)/$AN$51),0)</f>
        <v>45.368937724719068</v>
      </c>
      <c r="AZ3">
        <f t="shared" ref="AZ3:AZ66" si="18">IF(D3&gt;0,IF(AG3&gt;$AQ$84,(AG3-$AN$84)/$AN$83,(AG3-$AO$84)/$AO$83),0)</f>
        <v>2.2183991201954556</v>
      </c>
      <c r="BA3">
        <f t="shared" ref="BA3:BA66" si="19">IF(D3&gt;0,IF((AH3-$AN$117)/$AN$116&lt;$AQ$117,(AH3-$AN$117)/$AN$116,(AH3-$AO$117)/$AO$116),0)</f>
        <v>-25.875799260982259</v>
      </c>
      <c r="BE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F3">
        <f t="shared" ref="BF3:BH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G3">
        <f t="shared" si="20"/>
        <v>0</v>
      </c>
      <c r="BH3">
        <f t="shared" si="20"/>
        <v>0</v>
      </c>
    </row>
    <row r="4" spans="1:63" x14ac:dyDescent="0.2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1.8</v>
      </c>
      <c r="E4">
        <f>IF(A4&gt;0,IF(INDEX(original!$P$2:$P$1500,B4+1)=2,INDEX(original!$A$2:$K$1500,B4+1,5),1000000),0)</f>
        <v>5225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4217</v>
      </c>
      <c r="G4">
        <f>IF(A4&gt;0,IF(INDEX(original!$P$2:$P$1500,B4+2)=3,INDEX(original!$A$2:$K$1500,B4+2,9),0.001),0)</f>
        <v>37.656999999999996</v>
      </c>
      <c r="H4">
        <f>IF(A4&gt;0,IF(INDEX(original!$P$2:$P$1500,B4+2)=4,INDEX(original!$A$2:$K$1500,B4+2,9),IF(INDEX(original!$P$2:$P$1500,B4+3)=4,INDEX(original!$A$2:$K$1500,B4+3,9),0.0001)),0)</f>
        <v>53.372999999999998</v>
      </c>
      <c r="I4">
        <f>IF(A4&gt;0,IF(INDEX(original!$P$2:$P$1500,B4+2)=3,INDEX(original!$A$2:$K$1500,B4+2,10),0.001),)</f>
        <v>4.4969999999999999</v>
      </c>
      <c r="J4">
        <f>IF(A4&gt;0,IF(INDEX(original!$P$2:$P$1500,B4+2)=4,INDEX(original!$A$2:$K$1500,B4+2,11),IF(INDEX(original!$P$2:$P$1500,B4+3)=4,INDEX(original!$A$2:$K$1500,B4+3,11),0.001)),0)</f>
        <v>-14.125999999999999</v>
      </c>
      <c r="O4">
        <f t="shared" si="0"/>
        <v>5.7080000000000002</v>
      </c>
      <c r="P4">
        <f t="shared" si="1"/>
        <v>-7.2640000000000002</v>
      </c>
      <c r="R4">
        <f t="shared" si="3"/>
        <v>37.620063708133969</v>
      </c>
      <c r="S4">
        <f t="shared" si="2"/>
        <v>53.246170040905859</v>
      </c>
      <c r="U4">
        <f t="shared" si="4"/>
        <v>0.997</v>
      </c>
      <c r="V4">
        <f t="shared" si="5"/>
        <v>20.049791483358835</v>
      </c>
      <c r="W4">
        <f t="shared" si="6"/>
        <v>4.7519999999999998</v>
      </c>
      <c r="X4">
        <f t="shared" si="7"/>
        <v>28.613843125049403</v>
      </c>
      <c r="Y4">
        <f t="shared" si="8"/>
        <v>-13.920999999999999</v>
      </c>
      <c r="Z4">
        <f t="shared" si="9"/>
        <v>20.11012184890555</v>
      </c>
      <c r="AA4">
        <f t="shared" si="10"/>
        <v>28.699942953911137</v>
      </c>
      <c r="AD4" t="str">
        <f t="shared" si="11"/>
        <v>Peach1.0</v>
      </c>
      <c r="AE4">
        <f t="shared" si="12"/>
        <v>37.894005223328804</v>
      </c>
      <c r="AF4">
        <f t="shared" si="13"/>
        <v>53.809799684193969</v>
      </c>
      <c r="AG4">
        <f t="shared" si="14"/>
        <v>4.2602666096486201</v>
      </c>
      <c r="AH4">
        <f t="shared" si="15"/>
        <v>-14.332303972069017</v>
      </c>
      <c r="AJ4" t="s">
        <v>99</v>
      </c>
      <c r="AK4">
        <f>IF(M28&gt;0,INDEX(D$2:D$1500,M28),0)</f>
        <v>0</v>
      </c>
      <c r="AL4">
        <f>IF(M28&gt;0,INDEX(AE$2:AH$1500,M28,1),0)</f>
        <v>0</v>
      </c>
      <c r="AM4">
        <v>10.36</v>
      </c>
      <c r="AN4" s="6" t="b">
        <f>IF(AK4&gt;0,AM4*AK4/AL4)</f>
        <v>0</v>
      </c>
      <c r="AO4" s="7" t="b">
        <f>IF(AK4&gt;0,$AN$16*AL4/AK4)</f>
        <v>0</v>
      </c>
      <c r="AP4" t="b">
        <f>IF(AK4&gt;0,10.36)</f>
        <v>0</v>
      </c>
      <c r="AR4" t="s">
        <v>190</v>
      </c>
      <c r="AS4">
        <f>COUNT(AO4:AO14)</f>
        <v>8</v>
      </c>
      <c r="AT4">
        <f>COUNT(AP11:AP12,AP14)</f>
        <v>3</v>
      </c>
      <c r="AW4" t="str">
        <f t="shared" si="16"/>
        <v>Peach1.0</v>
      </c>
      <c r="AX4">
        <f t="shared" si="17"/>
        <v>2.9852654801747067</v>
      </c>
      <c r="AY4">
        <f t="shared" ref="AY4:AY67" si="21">IF(D4&gt;0,IF($M$2=1,($AN$50*AF4/D4-$AN$52)/$AN$51*46.6/(($AN$50*AVERAGE($AM$22:$AM$29)/AVERAGE($AK$22:$AK$29)-$AN$52)/$AN$51),($AN$50*AF4/D4-$AN$52)/$AN$51),0)</f>
        <v>46.001086541795104</v>
      </c>
      <c r="AZ4">
        <f t="shared" si="18"/>
        <v>2.1031061496474792</v>
      </c>
      <c r="BA4">
        <f t="shared" si="19"/>
        <v>-26.036742082036362</v>
      </c>
      <c r="BE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F4">
        <f t="shared" ref="BF4:BH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G4">
        <f t="shared" si="22"/>
        <v>0</v>
      </c>
      <c r="BH4">
        <f t="shared" si="22"/>
        <v>0</v>
      </c>
      <c r="BJ4">
        <f>IF(A4&gt;0,IF(OR(G4&lt;G$4*0.9,G4&gt;G$10*1.1),1,0),0)</f>
        <v>1</v>
      </c>
      <c r="BK4">
        <f>IF(A4&gt;0,IF(OR(H4&lt;H$4*0.9,H4&gt;H$10*1.1),1,0),0)</f>
        <v>1</v>
      </c>
    </row>
    <row r="5" spans="1:63" x14ac:dyDescent="0.2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0.997</v>
      </c>
      <c r="E5">
        <f>IF(A5&gt;0,IF(INDEX(original!$P$2:$P$1500,B5+1)=2,INDEX(original!$A$2:$K$1500,B5+1,5),1000000),0)</f>
        <v>5228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4217</v>
      </c>
      <c r="G5">
        <f>IF(A5&gt;0,IF(INDEX(original!$P$2:$P$1500,B5+2)=3,INDEX(original!$A$2:$K$1500,B5+2,9),0.001),0)</f>
        <v>20.081</v>
      </c>
      <c r="H5">
        <f>IF(A5&gt;0,IF(INDEX(original!$P$2:$P$1500,B5+2)=4,INDEX(original!$A$2:$K$1500,B5+2,9),IF(INDEX(original!$P$2:$P$1500,B5+3)=4,INDEX(original!$A$2:$K$1500,B5+3,9),0.0001)),0)</f>
        <v>28.681999999999999</v>
      </c>
      <c r="I5">
        <f>IF(A5&gt;0,IF(INDEX(original!$P$2:$P$1500,B5+2)=3,INDEX(original!$A$2:$K$1500,B5+2,10),0.001),)</f>
        <v>4.7519999999999998</v>
      </c>
      <c r="J5">
        <f>IF(A5&gt;0,IF(INDEX(original!$P$2:$P$1500,B5+2)=4,INDEX(original!$A$2:$K$1500,B5+2,11),IF(INDEX(original!$P$2:$P$1500,B5+3)=4,INDEX(original!$A$2:$K$1500,B5+3,11),0.001)),0)</f>
        <v>-13.920999999999999</v>
      </c>
      <c r="L5" t="s">
        <v>127</v>
      </c>
      <c r="O5">
        <f t="shared" si="0"/>
        <v>4.9729999999999999</v>
      </c>
      <c r="P5">
        <f t="shared" si="1"/>
        <v>-7.1849999999999996</v>
      </c>
      <c r="R5">
        <f t="shared" si="3"/>
        <v>20.049791483358835</v>
      </c>
      <c r="S5">
        <f t="shared" si="2"/>
        <v>28.613843125049403</v>
      </c>
      <c r="U5">
        <f t="shared" si="4"/>
        <v>2.8039999999999998</v>
      </c>
      <c r="V5">
        <f t="shared" si="5"/>
        <v>58.187428318668701</v>
      </c>
      <c r="W5">
        <f t="shared" si="6"/>
        <v>4.2670000000000003</v>
      </c>
      <c r="X5">
        <f t="shared" si="7"/>
        <v>83.030225772666199</v>
      </c>
      <c r="Y5">
        <f t="shared" si="8"/>
        <v>-14.278</v>
      </c>
      <c r="Z5">
        <f t="shared" si="9"/>
        <v>20.751579286258455</v>
      </c>
      <c r="AA5">
        <f t="shared" si="10"/>
        <v>29.611350132905208</v>
      </c>
      <c r="AD5" t="str">
        <f t="shared" si="11"/>
        <v>Peach1.8</v>
      </c>
      <c r="AE5">
        <f t="shared" si="12"/>
        <v>20.562644547924691</v>
      </c>
      <c r="AF5">
        <f t="shared" si="13"/>
        <v>29.292335101779916</v>
      </c>
      <c r="AG5">
        <f t="shared" si="14"/>
        <v>4.2466092455424072</v>
      </c>
      <c r="AH5">
        <f t="shared" si="15"/>
        <v>-14.256234464286589</v>
      </c>
      <c r="AJ5" t="s">
        <v>191</v>
      </c>
      <c r="AK5">
        <f t="shared" ref="AK5:AK9" si="23">IF(M29&gt;0,INDEX(D$2:D$1500,M29),0)</f>
        <v>0.69699999999999995</v>
      </c>
      <c r="AL5">
        <f t="shared" ref="AL5:AL10" si="24">IF(M29&gt;0,INDEX(AE$2:AH$1500,M29,1),0)</f>
        <v>78.045792873151939</v>
      </c>
      <c r="AM5">
        <v>16.27</v>
      </c>
      <c r="AN5" s="6">
        <f t="shared" ref="AN5:AN14" si="25">IF(AK5&gt;0,AM5*AK5/AL5)</f>
        <v>0.14530174635333956</v>
      </c>
      <c r="AO5" s="7">
        <f t="shared" ref="AO5:AO13" si="26">IF(AK5&gt;0,$AN$16*AL5/AK5)</f>
        <v>16.04108190682668</v>
      </c>
      <c r="AP5">
        <f>IF(AK5&gt;0,16.27)</f>
        <v>16.27</v>
      </c>
      <c r="AR5" t="s">
        <v>192</v>
      </c>
      <c r="AS5" s="8">
        <f>SUM(AO4:AO14)</f>
        <v>68.246832465112206</v>
      </c>
      <c r="AT5" s="8">
        <f>SUM(AO11:AO12,AO14)</f>
        <v>5.4363818772112884</v>
      </c>
      <c r="AW5" t="str">
        <f t="shared" si="16"/>
        <v>Peach1.8</v>
      </c>
      <c r="AX5">
        <f t="shared" si="17"/>
        <v>2.9245952902343615</v>
      </c>
      <c r="AY5">
        <f t="shared" si="21"/>
        <v>45.211609192940813</v>
      </c>
      <c r="AZ5">
        <f t="shared" si="18"/>
        <v>2.0893580503812537</v>
      </c>
      <c r="BA5">
        <f t="shared" si="19"/>
        <v>-25.960403305039844</v>
      </c>
      <c r="BE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F5">
        <f t="shared" ref="BF5:BH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G5">
        <f t="shared" si="27"/>
        <v>0</v>
      </c>
      <c r="BH5">
        <f t="shared" si="27"/>
        <v>0</v>
      </c>
      <c r="BJ5">
        <f t="shared" ref="BJ5:BJ68" si="28">IF(A5&gt;0,IF(OR(G5&lt;G$4*0.9,G5&gt;G$10*1.1),1,0),0)</f>
        <v>1</v>
      </c>
      <c r="BK5">
        <f t="shared" ref="BK5:BK68" si="29">IF(A5&gt;0,IF(OR(H5&lt;H$4*0.9,H5&gt;H$10*1.1),1,0),0)</f>
        <v>1</v>
      </c>
    </row>
    <row r="6" spans="1:63" x14ac:dyDescent="0.2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2.8039999999999998</v>
      </c>
      <c r="E6">
        <f>IF(A6&gt;0,IF(INDEX(original!$P$2:$P$1500,B6+1)=2,INDEX(original!$A$2:$K$1500,B6+1,5),1000000),0)</f>
        <v>5228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4217</v>
      </c>
      <c r="G6">
        <f>IF(A6&gt;0,IF(INDEX(original!$P$2:$P$1500,B6+2)=3,INDEX(original!$A$2:$K$1500,B6+2,9),0.001),0)</f>
        <v>58.277999999999999</v>
      </c>
      <c r="H6">
        <f>IF(A6&gt;0,IF(INDEX(original!$P$2:$P$1500,B6+2)=4,INDEX(original!$A$2:$K$1500,B6+2,9),IF(INDEX(original!$P$2:$P$1500,B6+3)=4,INDEX(original!$A$2:$K$1500,B6+3,9),0.0001)),0)</f>
        <v>83.227999999999994</v>
      </c>
      <c r="I6">
        <f>IF(A6&gt;0,IF(INDEX(original!$P$2:$P$1500,B6+2)=3,INDEX(original!$A$2:$K$1500,B6+2,10),0.001),)</f>
        <v>4.2670000000000003</v>
      </c>
      <c r="J6">
        <f>IF(A6&gt;0,IF(INDEX(original!$P$2:$P$1500,B6+2)=4,INDEX(original!$A$2:$K$1500,B6+2,11),IF(INDEX(original!$P$2:$P$1500,B6+3)=4,INDEX(original!$A$2:$K$1500,B6+3,11),0.001)),0)</f>
        <v>-14.278</v>
      </c>
      <c r="L6" s="2" t="s">
        <v>128</v>
      </c>
      <c r="O6">
        <f t="shared" si="0"/>
        <v>5.8170000000000002</v>
      </c>
      <c r="P6">
        <f t="shared" si="1"/>
        <v>-7.4909999999999997</v>
      </c>
      <c r="R6">
        <f t="shared" si="3"/>
        <v>58.187428318668701</v>
      </c>
      <c r="S6">
        <f t="shared" si="2"/>
        <v>83.030225772666199</v>
      </c>
      <c r="U6">
        <f t="shared" si="4"/>
        <v>4.0030000000000001</v>
      </c>
      <c r="V6">
        <f t="shared" si="5"/>
        <v>83.596937619640116</v>
      </c>
      <c r="W6">
        <f t="shared" si="6"/>
        <v>4.0039999999999996</v>
      </c>
      <c r="X6">
        <f t="shared" si="7"/>
        <v>119.71176304863583</v>
      </c>
      <c r="Y6">
        <f t="shared" si="8"/>
        <v>-14.393000000000001</v>
      </c>
      <c r="Z6">
        <f t="shared" si="9"/>
        <v>20.883571726115441</v>
      </c>
      <c r="AA6">
        <f t="shared" si="10"/>
        <v>29.90551162843763</v>
      </c>
      <c r="AD6" t="str">
        <f t="shared" si="11"/>
        <v>Peach2.8</v>
      </c>
      <c r="AE6">
        <f t="shared" si="12"/>
        <v>57.710795184168028</v>
      </c>
      <c r="AF6">
        <f t="shared" si="13"/>
        <v>82.728035578436462</v>
      </c>
      <c r="AG6">
        <f t="shared" si="14"/>
        <v>4.3014237859715472</v>
      </c>
      <c r="AH6">
        <f t="shared" si="15"/>
        <v>-14.324485258904362</v>
      </c>
      <c r="AJ6" t="s">
        <v>131</v>
      </c>
      <c r="AK6">
        <f t="shared" si="23"/>
        <v>0.69799999999999995</v>
      </c>
      <c r="AL6">
        <f t="shared" si="24"/>
        <v>88.807635669706201</v>
      </c>
      <c r="AM6">
        <v>18.66</v>
      </c>
      <c r="AN6" s="6">
        <f t="shared" si="25"/>
        <v>0.14666171328377048</v>
      </c>
      <c r="AO6" s="7">
        <f t="shared" si="26"/>
        <v>18.226858531763405</v>
      </c>
      <c r="AP6">
        <f>IF(AK6&gt;0,18.66)</f>
        <v>18.66</v>
      </c>
      <c r="AR6" t="s">
        <v>193</v>
      </c>
      <c r="AS6">
        <f>SUM(AP4:AP14)</f>
        <v>68.748000000000005</v>
      </c>
      <c r="AT6">
        <f>SUM(AP11:AP12,AP14)</f>
        <v>5.3800000000000008</v>
      </c>
      <c r="AW6" t="str">
        <f t="shared" si="16"/>
        <v>Peach2.8</v>
      </c>
      <c r="AX6">
        <f t="shared" si="17"/>
        <v>2.9185067951701993</v>
      </c>
      <c r="AY6">
        <f t="shared" si="21"/>
        <v>45.400740991838227</v>
      </c>
      <c r="AZ6">
        <f t="shared" si="18"/>
        <v>2.1445367610893862</v>
      </c>
      <c r="BA6">
        <f t="shared" si="19"/>
        <v>-26.028895692358336</v>
      </c>
      <c r="BE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F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G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H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J6">
        <f t="shared" si="28"/>
        <v>1</v>
      </c>
      <c r="BK6">
        <f t="shared" si="29"/>
        <v>1</v>
      </c>
    </row>
    <row r="7" spans="1:63" x14ac:dyDescent="0.2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4.0030000000000001</v>
      </c>
      <c r="E7">
        <f>IF(A7&gt;0,IF(INDEX(original!$P$2:$P$1500,B7+1)=2,INDEX(original!$A$2:$K$1500,B7+1,5),1000000),0)</f>
        <v>5224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4215</v>
      </c>
      <c r="G7">
        <f>IF(A7&gt;0,IF(INDEX(original!$P$2:$P$1500,B7+2)=3,INDEX(original!$A$2:$K$1500,B7+2,9),0.001),0)</f>
        <v>83.662999999999997</v>
      </c>
      <c r="H7">
        <f>IF(A7&gt;0,IF(INDEX(original!$P$2:$P$1500,B7+2)=4,INDEX(original!$A$2:$K$1500,B7+2,9),IF(INDEX(original!$P$2:$P$1500,B7+3)=4,INDEX(original!$A$2:$K$1500,B7+3,9),0.0001)),0)</f>
        <v>119.94</v>
      </c>
      <c r="I7">
        <f>IF(A7&gt;0,IF(INDEX(original!$P$2:$P$1500,B7+2)=3,INDEX(original!$A$2:$K$1500,B7+2,10),0.001),)</f>
        <v>4.0039999999999996</v>
      </c>
      <c r="J7">
        <f>IF(A7&gt;0,IF(INDEX(original!$P$2:$P$1500,B7+2)=4,INDEX(original!$A$2:$K$1500,B7+2,11),IF(INDEX(original!$P$2:$P$1500,B7+3)=4,INDEX(original!$A$2:$K$1500,B7+3,11),0.001)),0)</f>
        <v>-14.393000000000001</v>
      </c>
      <c r="L7" t="s">
        <v>145</v>
      </c>
      <c r="M7">
        <v>9</v>
      </c>
      <c r="O7" t="b">
        <f t="shared" si="0"/>
        <v>0</v>
      </c>
      <c r="P7" t="b">
        <f t="shared" si="1"/>
        <v>0</v>
      </c>
      <c r="R7">
        <f t="shared" si="3"/>
        <v>83.596937619640116</v>
      </c>
      <c r="S7">
        <f t="shared" si="2"/>
        <v>119.71176304863583</v>
      </c>
      <c r="U7">
        <f t="shared" si="4"/>
        <v>5</v>
      </c>
      <c r="V7">
        <f t="shared" si="5"/>
        <v>104.99837049894657</v>
      </c>
      <c r="W7">
        <f t="shared" si="6"/>
        <v>3.9049999999999998</v>
      </c>
      <c r="X7">
        <f t="shared" si="7"/>
        <v>150.33331846651629</v>
      </c>
      <c r="Y7">
        <f t="shared" si="8"/>
        <v>-14.598000000000001</v>
      </c>
      <c r="Z7">
        <f t="shared" si="9"/>
        <v>20.999674099789313</v>
      </c>
      <c r="AA7">
        <f t="shared" si="10"/>
        <v>30.066663693303258</v>
      </c>
      <c r="AD7" t="str">
        <f t="shared" si="11"/>
        <v>Peach4.0</v>
      </c>
      <c r="AE7">
        <f t="shared" si="12"/>
        <v>81.991398049279397</v>
      </c>
      <c r="AF7">
        <f t="shared" si="13"/>
        <v>117.8007356079043</v>
      </c>
      <c r="AG7">
        <f t="shared" si="14"/>
        <v>4.3088889483663841</v>
      </c>
      <c r="AH7">
        <f t="shared" si="15"/>
        <v>-14.236753851330157</v>
      </c>
      <c r="AJ7" t="s">
        <v>132</v>
      </c>
      <c r="AK7">
        <f t="shared" si="23"/>
        <v>0.70099999999999996</v>
      </c>
      <c r="AL7">
        <f t="shared" si="24"/>
        <v>45.878621315609429</v>
      </c>
      <c r="AM7">
        <v>9.3800000000000008</v>
      </c>
      <c r="AN7" s="6">
        <f t="shared" si="25"/>
        <v>0.14332122046053808</v>
      </c>
      <c r="AO7" s="7">
        <f t="shared" si="26"/>
        <v>9.3758203677454386</v>
      </c>
      <c r="AP7">
        <f>IF(AK7&gt;0,9.38)</f>
        <v>9.3800000000000008</v>
      </c>
      <c r="AR7" t="s">
        <v>194</v>
      </c>
      <c r="AS7">
        <f>SUM(AP4*AP4,AP5*AP5,AP6*AP6,AP7*AP7,AP8*AP8,AP9*AP9,AP10*AP10,AP11*AP11,AP12*AP12,AP13*AP13,AP14*AP14)</f>
        <v>896.1839819999999</v>
      </c>
      <c r="AT7">
        <f>SUM(AP11*AP11,AP12*AP12,AP14*AP14)</f>
        <v>13.6874</v>
      </c>
      <c r="AW7" t="str">
        <f t="shared" si="16"/>
        <v>Peach4.0</v>
      </c>
      <c r="AX7">
        <f t="shared" si="17"/>
        <v>2.9044482870724502</v>
      </c>
      <c r="AY7">
        <f t="shared" si="21"/>
        <v>45.284796472877602</v>
      </c>
      <c r="AZ7">
        <f t="shared" si="18"/>
        <v>2.1520515196360979</v>
      </c>
      <c r="BA7">
        <f t="shared" si="19"/>
        <v>-25.940853735026984</v>
      </c>
      <c r="BE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F7">
        <f t="shared" ref="BF7:BH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G7">
        <f t="shared" si="30"/>
        <v>0</v>
      </c>
      <c r="BH7">
        <f t="shared" si="30"/>
        <v>0</v>
      </c>
      <c r="BJ7">
        <f t="shared" si="28"/>
        <v>1</v>
      </c>
      <c r="BK7">
        <f t="shared" si="29"/>
        <v>1</v>
      </c>
    </row>
    <row r="8" spans="1:63" x14ac:dyDescent="0.2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5</v>
      </c>
      <c r="E8">
        <f>IF(A8&gt;0,IF(INDEX(original!$P$2:$P$1500,B8+1)=2,INDEX(original!$A$2:$K$1500,B8+1,5),1000000),0)</f>
        <v>5221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4211</v>
      </c>
      <c r="G8">
        <f>IF(A8&gt;0,IF(INDEX(original!$P$2:$P$1500,B8+2)=3,INDEX(original!$A$2:$K$1500,B8+2,9),0.001),0)</f>
        <v>105.021</v>
      </c>
      <c r="H8">
        <f>IF(A8&gt;0,IF(INDEX(original!$P$2:$P$1500,B8+2)=4,INDEX(original!$A$2:$K$1500,B8+2,9),IF(INDEX(original!$P$2:$P$1500,B8+3)=4,INDEX(original!$A$2:$K$1500,B8+3,9),0.0001)),0)</f>
        <v>150.477</v>
      </c>
      <c r="I8">
        <f>IF(A8&gt;0,IF(INDEX(original!$P$2:$P$1500,B8+2)=3,INDEX(original!$A$2:$K$1500,B8+2,10),0.001),)</f>
        <v>3.9049999999999998</v>
      </c>
      <c r="J8">
        <f>IF(A8&gt;0,IF(INDEX(original!$P$2:$P$1500,B8+2)=4,INDEX(original!$A$2:$K$1500,B8+2,11),IF(INDEX(original!$P$2:$P$1500,B8+3)=4,INDEX(original!$A$2:$K$1500,B8+3,11),0.001)),0)</f>
        <v>-14.598000000000001</v>
      </c>
      <c r="L8" t="s">
        <v>146</v>
      </c>
      <c r="M8">
        <v>24</v>
      </c>
      <c r="O8" t="b">
        <f t="shared" si="0"/>
        <v>0</v>
      </c>
      <c r="P8" t="b">
        <f t="shared" si="1"/>
        <v>0</v>
      </c>
      <c r="R8">
        <f t="shared" si="3"/>
        <v>104.99837049894657</v>
      </c>
      <c r="S8">
        <f t="shared" si="2"/>
        <v>150.33331846651629</v>
      </c>
      <c r="U8">
        <f t="shared" si="4"/>
        <v>5.9980000000000002</v>
      </c>
      <c r="V8">
        <f t="shared" si="5"/>
        <v>126.94396008141763</v>
      </c>
      <c r="W8">
        <f t="shared" si="6"/>
        <v>3.6520000000000001</v>
      </c>
      <c r="X8">
        <f t="shared" si="7"/>
        <v>181.29172986919184</v>
      </c>
      <c r="Y8">
        <f t="shared" si="8"/>
        <v>-14.728</v>
      </c>
      <c r="Z8">
        <f t="shared" si="9"/>
        <v>21.164381474060956</v>
      </c>
      <c r="AA8">
        <f t="shared" si="10"/>
        <v>30.225363432676197</v>
      </c>
      <c r="AD8" t="str">
        <f t="shared" si="11"/>
        <v>Peach5.0</v>
      </c>
      <c r="AE8">
        <f t="shared" si="12"/>
        <v>102.69595512512669</v>
      </c>
      <c r="AF8">
        <f t="shared" si="13"/>
        <v>147.00605829419638</v>
      </c>
      <c r="AG8">
        <f t="shared" si="14"/>
        <v>4.3823539405193213</v>
      </c>
      <c r="AH8">
        <f t="shared" si="15"/>
        <v>-14.267526204001204</v>
      </c>
      <c r="AJ8" t="s">
        <v>103</v>
      </c>
      <c r="AK8">
        <f t="shared" si="23"/>
        <v>0.69899999999999995</v>
      </c>
      <c r="AL8">
        <f t="shared" si="24"/>
        <v>46.238045983593771</v>
      </c>
      <c r="AM8">
        <v>9.5289999999999999</v>
      </c>
      <c r="AN8" s="6">
        <f t="shared" si="25"/>
        <v>0.14405390319399269</v>
      </c>
      <c r="AO8" s="7">
        <f t="shared" si="26"/>
        <v>9.476309450816272</v>
      </c>
      <c r="AP8">
        <f>IF(AK8&gt;0,9.529)</f>
        <v>9.5289999999999999</v>
      </c>
      <c r="AR8" t="s">
        <v>195</v>
      </c>
      <c r="AS8">
        <f>SUM(AO4*AP4,AO5*AP5,AO6*AP6,AO7*AP7,AO8*AP8,AO9*AP9,AO10*AP10,AO11*AP11,AO12*AP12,AO13*AP13,AO14*AP14)</f>
        <v>885.5147551319003</v>
      </c>
      <c r="AT8">
        <f>SUM(AP11*AO11,AP12*AO12,AP14*AO14)</f>
        <v>13.828590327136162</v>
      </c>
      <c r="AW8" t="str">
        <f t="shared" si="16"/>
        <v>Peach5.0</v>
      </c>
      <c r="AX8">
        <f t="shared" si="17"/>
        <v>2.9124916545286093</v>
      </c>
      <c r="AY8">
        <f t="shared" si="21"/>
        <v>45.243466159679862</v>
      </c>
      <c r="AZ8">
        <f t="shared" si="18"/>
        <v>2.2260045897055707</v>
      </c>
      <c r="BA8">
        <f t="shared" si="19"/>
        <v>-25.971735015012811</v>
      </c>
      <c r="BE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F8">
        <f t="shared" ref="BF8:BH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G8">
        <f t="shared" si="31"/>
        <v>0</v>
      </c>
      <c r="BH8">
        <f t="shared" si="31"/>
        <v>0</v>
      </c>
      <c r="BJ8">
        <f t="shared" si="28"/>
        <v>1</v>
      </c>
      <c r="BK8">
        <f t="shared" si="29"/>
        <v>1</v>
      </c>
    </row>
    <row r="9" spans="1:63" x14ac:dyDescent="0.2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5.9980000000000002</v>
      </c>
      <c r="E9">
        <f>IF(A9&gt;0,IF(INDEX(original!$P$2:$P$1500,B9+1)=2,INDEX(original!$A$2:$K$1500,B9+1,5),1000000),0)</f>
        <v>5220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4211</v>
      </c>
      <c r="G9">
        <f>IF(A9&gt;0,IF(INDEX(original!$P$2:$P$1500,B9+2)=3,INDEX(original!$A$2:$K$1500,B9+2,9),0.001),0)</f>
        <v>126.947</v>
      </c>
      <c r="H9">
        <f>IF(A9&gt;0,IF(INDEX(original!$P$2:$P$1500,B9+2)=4,INDEX(original!$A$2:$K$1500,B9+2,9),IF(INDEX(original!$P$2:$P$1500,B9+3)=4,INDEX(original!$A$2:$K$1500,B9+3,9),0.0001)),0)</f>
        <v>181.465</v>
      </c>
      <c r="I9">
        <f>IF(A9&gt;0,IF(INDEX(original!$P$2:$P$1500,B9+2)=3,INDEX(original!$A$2:$K$1500,B9+2,10),0.001),)</f>
        <v>3.6520000000000001</v>
      </c>
      <c r="J9">
        <f>IF(A9&gt;0,IF(INDEX(original!$P$2:$P$1500,B9+2)=4,INDEX(original!$A$2:$K$1500,B9+2,11),IF(INDEX(original!$P$2:$P$1500,B9+3)=4,INDEX(original!$A$2:$K$1500,B9+3,11),0.001)),0)</f>
        <v>-14.728</v>
      </c>
      <c r="L9" t="s">
        <v>147</v>
      </c>
      <c r="M9">
        <v>36</v>
      </c>
      <c r="O9" t="b">
        <f t="shared" si="0"/>
        <v>0</v>
      </c>
      <c r="P9" t="b">
        <f t="shared" si="1"/>
        <v>0</v>
      </c>
      <c r="R9">
        <f t="shared" si="3"/>
        <v>126.94396008141763</v>
      </c>
      <c r="S9">
        <f t="shared" si="2"/>
        <v>181.29172986919184</v>
      </c>
      <c r="V9" t="s">
        <v>196</v>
      </c>
      <c r="W9" t="s">
        <v>122</v>
      </c>
      <c r="X9" t="s">
        <v>197</v>
      </c>
      <c r="Y9" t="s">
        <v>123</v>
      </c>
      <c r="Z9" t="s">
        <v>198</v>
      </c>
      <c r="AA9" t="s">
        <v>199</v>
      </c>
      <c r="AD9" t="str">
        <f t="shared" si="11"/>
        <v>Peach6.0</v>
      </c>
      <c r="AE9">
        <f t="shared" si="12"/>
        <v>124.58079311366065</v>
      </c>
      <c r="AF9">
        <f t="shared" si="13"/>
        <v>176.81153616133187</v>
      </c>
      <c r="AG9">
        <f t="shared" si="14"/>
        <v>4.2536588041134191</v>
      </c>
      <c r="AH9">
        <f t="shared" si="15"/>
        <v>-14.216767405949064</v>
      </c>
      <c r="AJ9" t="s">
        <v>105</v>
      </c>
      <c r="AK9">
        <f t="shared" si="23"/>
        <v>0.499</v>
      </c>
      <c r="AL9">
        <f t="shared" si="24"/>
        <v>33.753936642200742</v>
      </c>
      <c r="AM9">
        <v>9.5289999999999999</v>
      </c>
      <c r="AN9" s="6">
        <f t="shared" si="25"/>
        <v>0.14087159819027195</v>
      </c>
      <c r="AO9" s="7">
        <f t="shared" si="26"/>
        <v>9.6903803307491234</v>
      </c>
      <c r="AP9">
        <f>IF(AK9&gt;0,9.529)</f>
        <v>9.5289999999999999</v>
      </c>
      <c r="AV9">
        <f>(($AN$50*INDEX(AF$2:AF$1500,$M$37)/INDEX(D$2:D$1500,$M$37)-$AN$52)/$AN$51)</f>
        <v>47.389703441674307</v>
      </c>
      <c r="AW9" t="str">
        <f t="shared" si="16"/>
        <v>Peach6.0</v>
      </c>
      <c r="AX9">
        <f t="shared" si="17"/>
        <v>2.9452870570902192</v>
      </c>
      <c r="AY9">
        <f t="shared" si="21"/>
        <v>45.362080340536906</v>
      </c>
      <c r="AZ9">
        <f t="shared" si="18"/>
        <v>2.0964544439652291</v>
      </c>
      <c r="BA9">
        <f t="shared" si="19"/>
        <v>-25.920796542054681</v>
      </c>
      <c r="BE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F9">
        <f t="shared" ref="BF9:BH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G9">
        <f t="shared" si="32"/>
        <v>0</v>
      </c>
      <c r="BH9">
        <f t="shared" si="32"/>
        <v>0</v>
      </c>
      <c r="BJ9">
        <f t="shared" si="28"/>
        <v>1</v>
      </c>
      <c r="BK9">
        <f t="shared" si="29"/>
        <v>1</v>
      </c>
    </row>
    <row r="10" spans="1:63" x14ac:dyDescent="0.2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12</v>
      </c>
      <c r="E10">
        <f>IF(A10&gt;0,IF(INDEX(original!$P$2:$P$1500,B10+1)=2,INDEX(original!$A$2:$K$1500,B10+1,5),1000000),0)</f>
        <v>5216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4209</v>
      </c>
      <c r="G10">
        <f>IF(A10&gt;0,IF(INDEX(original!$P$2:$P$1500,B10+2)=3,INDEX(original!$A$2:$K$1500,B10+2,9),0.001),0)</f>
        <v>16.936</v>
      </c>
      <c r="H10">
        <f>IF(A10&gt;0,IF(INDEX(original!$P$2:$P$1500,B10+2)=4,INDEX(original!$A$2:$K$1500,B10+2,9),IF(INDEX(original!$P$2:$P$1500,B10+3)=4,INDEX(original!$A$2:$K$1500,B10+3,9),0.0001)),0)</f>
        <v>24.515999999999998</v>
      </c>
      <c r="I10">
        <f>IF(A10&gt;0,IF(INDEX(original!$P$2:$P$1500,B10+2)=3,INDEX(original!$A$2:$K$1500,B10+2,10),0.001),)</f>
        <v>5.9690000000000003</v>
      </c>
      <c r="J10">
        <f>IF(A10&gt;0,IF(INDEX(original!$P$2:$P$1500,B10+2)=4,INDEX(original!$A$2:$K$1500,B10+2,11),IF(INDEX(original!$P$2:$P$1500,B10+3)=4,INDEX(original!$A$2:$K$1500,B10+3,11),0.001)),0)</f>
        <v>-7.2380000000000004</v>
      </c>
      <c r="L10" t="s">
        <v>148</v>
      </c>
      <c r="M10">
        <v>72</v>
      </c>
      <c r="O10" t="b">
        <f t="shared" si="0"/>
        <v>0</v>
      </c>
      <c r="P10" t="b">
        <f t="shared" si="1"/>
        <v>0</v>
      </c>
      <c r="R10">
        <f t="shared" si="3"/>
        <v>16.948581863496933</v>
      </c>
      <c r="S10">
        <f t="shared" si="2"/>
        <v>24.504229330007128</v>
      </c>
      <c r="U10" t="s">
        <v>200</v>
      </c>
      <c r="V10">
        <f>V33</f>
        <v>-1.3805266674677099E-4</v>
      </c>
      <c r="W10">
        <f t="shared" ref="W10:Y10" si="33">W33</f>
        <v>5.5236604938386159E-5</v>
      </c>
      <c r="X10">
        <f t="shared" si="33"/>
        <v>-5.8329983513303612E-5</v>
      </c>
      <c r="Y10">
        <f t="shared" si="33"/>
        <v>-2.4205286230713029E-6</v>
      </c>
      <c r="Z10">
        <f>Z33</f>
        <v>-5.2107037990469049E-4</v>
      </c>
      <c r="AD10" t="str">
        <f t="shared" si="11"/>
        <v>BRS1</v>
      </c>
      <c r="AE10">
        <f t="shared" si="12"/>
        <v>17.445712542748161</v>
      </c>
      <c r="AF10">
        <f t="shared" si="13"/>
        <v>25.252086832499817</v>
      </c>
      <c r="AG10">
        <f t="shared" si="14"/>
        <v>5.4126493249162584</v>
      </c>
      <c r="AH10">
        <f t="shared" si="15"/>
        <v>-7.5944590905845812</v>
      </c>
      <c r="AJ10" t="s">
        <v>133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BRS1</v>
      </c>
      <c r="AX10">
        <f t="shared" si="17"/>
        <v>0.20523254853341866</v>
      </c>
      <c r="AY10">
        <f t="shared" si="21"/>
        <v>3.3051893955379947</v>
      </c>
      <c r="AZ10">
        <f t="shared" si="18"/>
        <v>3.2631449271869095</v>
      </c>
      <c r="BA10">
        <f t="shared" si="19"/>
        <v>-19.27504672157858</v>
      </c>
      <c r="BE10">
        <f>IF(COUNT($M$7:$M$21)=8,AVERAGE(INDEX(AX$2:AX$250,$M$7),INDEX(AX$2:AX$250,$M$8),INDEX(AX$2:AX$250,$M$9),INDEX(AX$2:AX$250,$M$10),INDEX(AX$2:AX$250,$M$11),INDEX(AX$2:AX$250,$M$12),INDEX(AX$2:AX$250,$M$13),INDEX(AX$2:AX$250,$M$14)),0)</f>
        <v>0</v>
      </c>
      <c r="BF10">
        <f t="shared" ref="BF10:BH10" si="34">IF(COUNT($M$7:$M$21)=8,AVERAGE(INDEX(AY$2:AY$250,$M$7),INDEX(AY$2:AY$250,$M$8),INDEX(AY$2:AY$250,$M$9),INDEX(AY$2:AY$250,$M$10),INDEX(AY$2:AY$250,$M$11),INDEX(AY$2:AY$250,$M$12),INDEX(AY$2:AY$250,$M$13),INDEX(AY$2:AY$250,$M$14)),0)</f>
        <v>0</v>
      </c>
      <c r="BG10">
        <f t="shared" si="34"/>
        <v>0</v>
      </c>
      <c r="BH10">
        <f t="shared" si="34"/>
        <v>0</v>
      </c>
      <c r="BJ10">
        <f t="shared" si="28"/>
        <v>1</v>
      </c>
      <c r="BK10">
        <f t="shared" si="29"/>
        <v>1</v>
      </c>
    </row>
    <row r="11" spans="1:63" x14ac:dyDescent="0.2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53</v>
      </c>
      <c r="C11" t="str">
        <f>IF(A11&gt;0,INDEX(original!$A$2:$K$1500,B11,2),0)</f>
        <v>ALU1 15-25</v>
      </c>
      <c r="D11">
        <f>IF(A11&gt;0,INDEX(original!$A$2:$K$1500,B11,3),0)</f>
        <v>29.667000000000002</v>
      </c>
      <c r="E11">
        <f>IF(A11&gt;0,IF(INDEX(original!$P$2:$P$1500,B11+1)=2,INDEX(original!$A$2:$K$1500,B11+1,5),1000000),0)</f>
        <v>5215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4207</v>
      </c>
      <c r="G11">
        <f>IF(A11&gt;0,IF(INDEX(original!$P$2:$P$1500,B11+2)=3,INDEX(original!$A$2:$K$1500,B11+2,9),0.001),0)</f>
        <v>14.952</v>
      </c>
      <c r="H11">
        <f>IF(A11&gt;0,IF(INDEX(original!$P$2:$P$1500,B11+2)=4,INDEX(original!$A$2:$K$1500,B11+2,9),IF(INDEX(original!$P$2:$P$1500,B11+3)=4,INDEX(original!$A$2:$K$1500,B11+3,9),0.0001)),0)</f>
        <v>17.045000000000002</v>
      </c>
      <c r="I11">
        <f>IF(A11&gt;0,IF(INDEX(original!$P$2:$P$1500,B11+2)=3,INDEX(original!$A$2:$K$1500,B11+2,10),0.001),)</f>
        <v>6.7</v>
      </c>
      <c r="J11">
        <f>IF(A11&gt;0,IF(INDEX(original!$P$2:$P$1500,B11+2)=4,INDEX(original!$A$2:$K$1500,B11+2,11),IF(INDEX(original!$P$2:$P$1500,B11+3)=4,INDEX(original!$A$2:$K$1500,B11+3,11),0.001)),0)</f>
        <v>-13.670999999999999</v>
      </c>
      <c r="L11" t="s">
        <v>149</v>
      </c>
      <c r="M11">
        <v>96</v>
      </c>
      <c r="O11" t="b">
        <f t="shared" si="0"/>
        <v>0</v>
      </c>
      <c r="P11" t="b">
        <f t="shared" si="1"/>
        <v>0</v>
      </c>
      <c r="R11">
        <f t="shared" si="3"/>
        <v>14.965977181208054</v>
      </c>
      <c r="S11">
        <f t="shared" si="2"/>
        <v>17.044915592068779</v>
      </c>
      <c r="U11" t="s">
        <v>201</v>
      </c>
      <c r="V11">
        <f t="shared" ref="V11:Y12" si="35">V34</f>
        <v>2.8773832854989023E-2</v>
      </c>
      <c r="W11">
        <f t="shared" si="35"/>
        <v>-1.8475936732993838E-2</v>
      </c>
      <c r="X11">
        <f t="shared" si="35"/>
        <v>2.1917040989328555E-2</v>
      </c>
      <c r="Y11">
        <f t="shared" si="35"/>
        <v>-5.036054142133462E-3</v>
      </c>
      <c r="Z11">
        <f>Z34</f>
        <v>7.3917797725832915E-2</v>
      </c>
      <c r="AD11" t="str">
        <f t="shared" si="11"/>
        <v>ALU1 15-25</v>
      </c>
      <c r="AE11">
        <f t="shared" si="12"/>
        <v>15.442149516234522</v>
      </c>
      <c r="AF11">
        <f t="shared" si="13"/>
        <v>17.808084599788891</v>
      </c>
      <c r="AG11">
        <f t="shared" si="14"/>
        <v>6.1105138846505218</v>
      </c>
      <c r="AH11">
        <f t="shared" si="15"/>
        <v>-14.065774788287337</v>
      </c>
      <c r="AJ11" t="s">
        <v>126</v>
      </c>
      <c r="AK11">
        <f>IF(M3=1,AVERAGE(AK22:AK36),IF(M35&gt;0,INDEX(D$2:D$1500,M35),0))</f>
        <v>11.9998</v>
      </c>
      <c r="AL11">
        <f>IF(M3=1,AVERAGE(AL22:AL36),IF(M35&gt;0,INDEX(AE$2:AH$1500,M35,1),0))</f>
        <v>16.847268272034079</v>
      </c>
      <c r="AM11">
        <v>0.2</v>
      </c>
      <c r="AN11" s="6">
        <f t="shared" si="25"/>
        <v>0.14245395521978221</v>
      </c>
      <c r="AO11" s="7">
        <f t="shared" si="26"/>
        <v>0.20112794729583544</v>
      </c>
      <c r="AP11">
        <f>IF(AK11&gt;0,0.2)</f>
        <v>0.2</v>
      </c>
      <c r="AR11" t="s">
        <v>202</v>
      </c>
      <c r="AS11" s="4" t="s">
        <v>188</v>
      </c>
      <c r="AW11" t="str">
        <f t="shared" si="16"/>
        <v>ALU1 15-25</v>
      </c>
      <c r="AX11">
        <f t="shared" si="17"/>
        <v>7.2845000733021359E-2</v>
      </c>
      <c r="AY11">
        <f t="shared" si="21"/>
        <v>0.99436391661302581</v>
      </c>
      <c r="AZ11">
        <f t="shared" si="18"/>
        <v>3.9656458759053321</v>
      </c>
      <c r="BA11">
        <f t="shared" si="19"/>
        <v>-25.769269443959516</v>
      </c>
      <c r="BE11">
        <f>IF(COUNT($M$7:$M$21)=7,AVERAGE(INDEX(AX$2:AX$250,$M$7),INDEX(AX$2:AX$250,$M$8),INDEX(AX$2:AX$250,$M$9),INDEX(AX$2:AX$250,$M$10),INDEX(AX$2:AX$250,$M$11),INDEX(AX$2:AX$250,$M$12),INDEX(AX$2:AX$250,$M$13)),0)</f>
        <v>0</v>
      </c>
      <c r="BF11">
        <f t="shared" ref="BF11:BH11" si="36">IF(COUNT($M$7:$M$21)=7,AVERAGE(INDEX(AY$2:AY$250,$M$7),INDEX(AY$2:AY$250,$M$8),INDEX(AY$2:AY$250,$M$9),INDEX(AY$2:AY$250,$M$10),INDEX(AY$2:AY$250,$M$11),INDEX(AY$2:AY$250,$M$12),INDEX(AY$2:AY$250,$M$13)),0)</f>
        <v>0</v>
      </c>
      <c r="BG11">
        <f t="shared" si="36"/>
        <v>0</v>
      </c>
      <c r="BH11">
        <f t="shared" si="36"/>
        <v>0</v>
      </c>
      <c r="BJ11">
        <f t="shared" si="28"/>
        <v>1</v>
      </c>
      <c r="BK11">
        <f t="shared" si="29"/>
        <v>1</v>
      </c>
    </row>
    <row r="12" spans="1:63" x14ac:dyDescent="0.2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59</v>
      </c>
      <c r="C12" t="str">
        <f>IF(A12&gt;0,INDEX(original!$A$2:$K$1500,B12,2),0)</f>
        <v>ALU1 25+</v>
      </c>
      <c r="D12">
        <f>IF(A12&gt;0,INDEX(original!$A$2:$K$1500,B12,3),0)</f>
        <v>29.562000000000001</v>
      </c>
      <c r="E12">
        <f>IF(A12&gt;0,IF(INDEX(original!$P$2:$P$1500,B12+1)=2,INDEX(original!$A$2:$K$1500,B12+1,5),1000000),0)</f>
        <v>5213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4204</v>
      </c>
      <c r="G12">
        <f>IF(A12&gt;0,IF(INDEX(original!$P$2:$P$1500,B12+2)=3,INDEX(original!$A$2:$K$1500,B12+2,9),0.001),0)</f>
        <v>12.552</v>
      </c>
      <c r="H12">
        <f>IF(A12&gt;0,IF(INDEX(original!$P$2:$P$1500,B12+2)=4,INDEX(original!$A$2:$K$1500,B12+2,9),IF(INDEX(original!$P$2:$P$1500,B12+3)=4,INDEX(original!$A$2:$K$1500,B12+3,9),0.0001)),0)</f>
        <v>10.544</v>
      </c>
      <c r="I12">
        <f>IF(A12&gt;0,IF(INDEX(original!$P$2:$P$1500,B12+2)=3,INDEX(original!$A$2:$K$1500,B12+2,10),0.001),)</f>
        <v>6.8360000000000003</v>
      </c>
      <c r="J12">
        <f>IF(A12&gt;0,IF(INDEX(original!$P$2:$P$1500,B12+2)=4,INDEX(original!$A$2:$K$1500,B12+2,11),IF(INDEX(original!$P$2:$P$1500,B12+3)=4,INDEX(original!$A$2:$K$1500,B12+3,11),0.001)),0)</f>
        <v>-12.694000000000001</v>
      </c>
      <c r="L12" t="s">
        <v>150</v>
      </c>
      <c r="O12" t="b">
        <f t="shared" si="0"/>
        <v>0</v>
      </c>
      <c r="P12" t="b">
        <f t="shared" si="1"/>
        <v>0</v>
      </c>
      <c r="R12">
        <f t="shared" si="3"/>
        <v>12.568553807788222</v>
      </c>
      <c r="S12">
        <f t="shared" si="2"/>
        <v>10.551472010783382</v>
      </c>
      <c r="U12" t="s">
        <v>203</v>
      </c>
      <c r="V12">
        <f t="shared" si="35"/>
        <v>19.609643245340216</v>
      </c>
      <c r="W12">
        <f t="shared" si="35"/>
        <v>5.1576246419965326</v>
      </c>
      <c r="X12">
        <f t="shared" si="35"/>
        <v>28.138228303278655</v>
      </c>
      <c r="Y12">
        <f t="shared" si="35"/>
        <v>-13.776682859825447</v>
      </c>
      <c r="Z12">
        <f>Z35</f>
        <v>27.077758384725819</v>
      </c>
      <c r="AD12" t="str">
        <f t="shared" si="11"/>
        <v>ALU1 25+</v>
      </c>
      <c r="AE12">
        <f t="shared" si="12"/>
        <v>13.00736666398817</v>
      </c>
      <c r="AF12">
        <f t="shared" si="13"/>
        <v>11.177211942737104</v>
      </c>
      <c r="AG12">
        <f t="shared" si="14"/>
        <v>6.205865516878518</v>
      </c>
      <c r="AH12">
        <f t="shared" si="15"/>
        <v>-13.121909869776493</v>
      </c>
      <c r="AJ12" t="s">
        <v>125</v>
      </c>
      <c r="AK12">
        <f>IF(M2=1,AVERAGE(AK22:AK36),IF(M36&gt;0,INDEX(D$2:D$1500,M36),0))</f>
        <v>1.998</v>
      </c>
      <c r="AL12">
        <f>IF(M2=1,AVERAGE(AL22:AL36),IF(M36&gt;0,INDEX(AE$2:AH$1500,M36,1),0))</f>
        <v>41.205857029635553</v>
      </c>
      <c r="AM12">
        <v>2.93</v>
      </c>
      <c r="AN12" s="6">
        <f t="shared" si="25"/>
        <v>0.14207057981562329</v>
      </c>
      <c r="AO12" s="7">
        <f t="shared" si="26"/>
        <v>2.9544755814223933</v>
      </c>
      <c r="AP12">
        <f>IF(AK12&gt;0,2.93)</f>
        <v>2.93</v>
      </c>
      <c r="AR12" t="s">
        <v>204</v>
      </c>
      <c r="AS12" t="s">
        <v>205</v>
      </c>
      <c r="AT12" t="s">
        <v>206</v>
      </c>
      <c r="AW12" t="str">
        <f t="shared" si="16"/>
        <v>ALU1 25+</v>
      </c>
      <c r="AX12">
        <f t="shared" si="17"/>
        <v>6.1424225173982848E-2</v>
      </c>
      <c r="AY12">
        <f t="shared" si="21"/>
        <v>0.65302423545364485</v>
      </c>
      <c r="AZ12">
        <f t="shared" si="18"/>
        <v>4.0616309938880022</v>
      </c>
      <c r="BA12">
        <f t="shared" si="19"/>
        <v>-24.82206345262961</v>
      </c>
      <c r="BE12">
        <f>IF(COUNT($M$7:$M$21)=6,AVERAGE(INDEX(AX$2:AX$250,$M$7),INDEX(AX$2:AX$250,$M$8),INDEX(AX$2:AX$250,$M$9),INDEX(AX$2:AX$250,$M$10),INDEX(AX$2:AX$250,$M$11),INDEX(AX$2:AX$250,$M$12)),0)</f>
        <v>0</v>
      </c>
      <c r="BF12">
        <f t="shared" ref="BF12:BH12" si="37">IF(COUNT($M$7:$M$21)=6,AVERAGE(INDEX(AY$2:AY$250,$M$7),INDEX(AY$2:AY$250,$M$8),INDEX(AY$2:AY$250,$M$9),INDEX(AY$2:AY$250,$M$10),INDEX(AY$2:AY$250,$M$11),INDEX(AY$2:AY$250,$M$12)),0)</f>
        <v>0</v>
      </c>
      <c r="BG12">
        <f t="shared" si="37"/>
        <v>0</v>
      </c>
      <c r="BH12">
        <f t="shared" si="37"/>
        <v>0</v>
      </c>
      <c r="BJ12">
        <f t="shared" si="28"/>
        <v>1</v>
      </c>
      <c r="BK12">
        <f t="shared" si="29"/>
        <v>1</v>
      </c>
    </row>
    <row r="13" spans="1:63" x14ac:dyDescent="0.2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65</v>
      </c>
      <c r="C13" t="str">
        <f>IF(A13&gt;0,INDEX(original!$A$2:$K$1500,B13,2),0)</f>
        <v>ALU2 15-25</v>
      </c>
      <c r="D13">
        <f>IF(A13&gt;0,INDEX(original!$A$2:$K$1500,B13,3),0)</f>
        <v>29.975000000000001</v>
      </c>
      <c r="E13">
        <f>IF(A13&gt;0,IF(INDEX(original!$P$2:$P$1500,B13+1)=2,INDEX(original!$A$2:$K$1500,B13+1,5),1000000),0)</f>
        <v>5214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4203</v>
      </c>
      <c r="G13">
        <f>IF(A13&gt;0,IF(INDEX(original!$P$2:$P$1500,B13+2)=3,INDEX(original!$A$2:$K$1500,B13+2,9),0.001),0)</f>
        <v>15.238</v>
      </c>
      <c r="H13">
        <f>IF(A13&gt;0,IF(INDEX(original!$P$2:$P$1500,B13+2)=4,INDEX(original!$A$2:$K$1500,B13+2,9),IF(INDEX(original!$P$2:$P$1500,B13+3)=4,INDEX(original!$A$2:$K$1500,B13+3,9),0.0001)),0)</f>
        <v>13.678000000000001</v>
      </c>
      <c r="I13">
        <f>IF(A13&gt;0,IF(INDEX(original!$P$2:$P$1500,B13+2)=3,INDEX(original!$A$2:$K$1500,B13+2,10),0.001),)</f>
        <v>6.8310000000000004</v>
      </c>
      <c r="J13">
        <f>IF(A13&gt;0,IF(INDEX(original!$P$2:$P$1500,B13+2)=4,INDEX(original!$A$2:$K$1500,B13+2,11),IF(INDEX(original!$P$2:$P$1500,B13+3)=4,INDEX(original!$A$2:$K$1500,B13+3,11),0.001)),0)</f>
        <v>-13.154999999999999</v>
      </c>
      <c r="L13" t="s">
        <v>151</v>
      </c>
      <c r="O13" t="b">
        <f t="shared" si="0"/>
        <v>0</v>
      </c>
      <c r="P13" t="b">
        <f t="shared" si="1"/>
        <v>0</v>
      </c>
      <c r="R13">
        <f t="shared" si="3"/>
        <v>15.255169783275795</v>
      </c>
      <c r="S13">
        <f t="shared" si="2"/>
        <v>13.690949569751767</v>
      </c>
      <c r="U13" t="s">
        <v>207</v>
      </c>
      <c r="V13">
        <f>1-(SUM(V40:V46))/(SUM(V49:V55))</f>
        <v>0.85074161451243002</v>
      </c>
      <c r="W13">
        <f>1-(SUM(W40:W46))/(SUM(W49:W55))</f>
        <v>0.98714160709145016</v>
      </c>
      <c r="X13">
        <f>1-(SUM(X42:X46))/(SUM(X51:X55))</f>
        <v>0.99602500409207706</v>
      </c>
      <c r="Y13">
        <f t="shared" ref="Y13" si="38">1-(SUM(Y40:Y46))/(SUM(Y49:Y55))</f>
        <v>0.97323576663628275</v>
      </c>
      <c r="Z13">
        <f>1-(SUM(Z40:Z43))/(SUM(Z49:Z52))</f>
        <v>0.99702765475683786</v>
      </c>
      <c r="AD13" t="str">
        <f t="shared" si="11"/>
        <v>ALU2 15-25</v>
      </c>
      <c r="AE13">
        <f t="shared" si="12"/>
        <v>15.73494855018995</v>
      </c>
      <c r="AF13">
        <f t="shared" si="13"/>
        <v>14.403185344596658</v>
      </c>
      <c r="AG13">
        <f t="shared" si="14"/>
        <v>6.2463742357391467</v>
      </c>
      <c r="AH13">
        <f t="shared" si="15"/>
        <v>-13.566915067915549</v>
      </c>
      <c r="AJ13" t="s">
        <v>137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0</v>
      </c>
      <c r="AT13">
        <f>IF(AK4&gt;0,(AO4-AVERAGE(AO$4:AO$13))^2,0)</f>
        <v>0</v>
      </c>
      <c r="AW13" t="str">
        <f t="shared" si="16"/>
        <v>ALU2 15-25</v>
      </c>
      <c r="AX13">
        <f t="shared" si="17"/>
        <v>7.3471932683640606E-2</v>
      </c>
      <c r="AY13">
        <f t="shared" si="21"/>
        <v>0.81036871847068404</v>
      </c>
      <c r="AZ13">
        <f t="shared" si="18"/>
        <v>4.1024088397235836</v>
      </c>
      <c r="BA13">
        <f t="shared" si="19"/>
        <v>-25.268643870636133</v>
      </c>
      <c r="BE13">
        <f>IF(COUNT($M$7:$M$21)=5,AVERAGE(INDEX(AX$2:AX$250,$M$7),INDEX(AX$2:AX$250,$M$8),INDEX(AX$2:AX$250,$M$9),INDEX(AX$2:AX$250,$M$10),INDEX(AX$2:AX$250,$M$11)),0)</f>
        <v>0.19816114749386771</v>
      </c>
      <c r="BF13">
        <f t="shared" ref="BF13:BH13" si="41">IF(COUNT($M$7:$M$21)=5,AVERAGE(INDEX(AY$2:AY$250,$M$7),INDEX(AY$2:AY$250,$M$8),INDEX(AY$2:AY$250,$M$9),INDEX(AY$2:AY$250,$M$10),INDEX(AY$2:AY$250,$M$11)),0)</f>
        <v>3.2457050623402659</v>
      </c>
      <c r="BG13">
        <f t="shared" si="41"/>
        <v>2.9804069590797369</v>
      </c>
      <c r="BH13">
        <f t="shared" si="41"/>
        <v>-19.353345537311252</v>
      </c>
      <c r="BJ13">
        <f t="shared" si="28"/>
        <v>1</v>
      </c>
      <c r="BK13">
        <f t="shared" si="29"/>
        <v>1</v>
      </c>
    </row>
    <row r="14" spans="1:63" x14ac:dyDescent="0.2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71</v>
      </c>
      <c r="C14" t="str">
        <f>IF(A14&gt;0,INDEX(original!$A$2:$K$1500,B14,2),0)</f>
        <v>ALU3 15+</v>
      </c>
      <c r="D14">
        <f>IF(A14&gt;0,INDEX(original!$A$2:$K$1500,B14,3),0)</f>
        <v>29.581</v>
      </c>
      <c r="E14">
        <f>IF(A14&gt;0,IF(INDEX(original!$P$2:$P$1500,B14+1)=2,INDEX(original!$A$2:$K$1500,B14+1,5),1000000),0)</f>
        <v>5208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4199</v>
      </c>
      <c r="G14">
        <f>IF(A14&gt;0,IF(INDEX(original!$P$2:$P$1500,B14+2)=3,INDEX(original!$A$2:$K$1500,B14+2,9),0.001),0)</f>
        <v>13.846</v>
      </c>
      <c r="H14">
        <f>IF(A14&gt;0,IF(INDEX(original!$P$2:$P$1500,B14+2)=4,INDEX(original!$A$2:$K$1500,B14+2,9),IF(INDEX(original!$P$2:$P$1500,B14+3)=4,INDEX(original!$A$2:$K$1500,B14+3,9),0.0001)),0)</f>
        <v>10.574</v>
      </c>
      <c r="I14">
        <f>IF(A14&gt;0,IF(INDEX(original!$P$2:$P$1500,B14+2)=3,INDEX(original!$A$2:$K$1500,B14+2,10),0.001),)</f>
        <v>7.19</v>
      </c>
      <c r="J14">
        <f>IF(A14&gt;0,IF(INDEX(original!$P$2:$P$1500,B14+2)=4,INDEX(original!$A$2:$K$1500,B14+2,11),IF(INDEX(original!$P$2:$P$1500,B14+3)=4,INDEX(original!$A$2:$K$1500,B14+3,11),0.001)),0)</f>
        <v>-12.827</v>
      </c>
      <c r="L14" t="s">
        <v>152</v>
      </c>
      <c r="O14" t="b">
        <f t="shared" si="0"/>
        <v>0</v>
      </c>
      <c r="P14" t="b">
        <f t="shared" si="1"/>
        <v>0</v>
      </c>
      <c r="R14">
        <f t="shared" si="3"/>
        <v>13.877570900537636</v>
      </c>
      <c r="S14">
        <f t="shared" si="2"/>
        <v>10.594093286099865</v>
      </c>
      <c r="U14" t="s">
        <v>208</v>
      </c>
      <c r="V14">
        <f>AVERAGE(Z2:Z8)</f>
        <v>20.645987964739685</v>
      </c>
      <c r="W14">
        <f>AVERAGE(W2:W8)</f>
        <v>4.3040000000000003</v>
      </c>
      <c r="X14">
        <f>AVERAGE(AA2:AA8)</f>
        <v>29.448307970034111</v>
      </c>
      <c r="Y14">
        <f>AVERAGE(Y2:Y8)</f>
        <v>-14.257999999999997</v>
      </c>
      <c r="Z14">
        <f>AVERAGE(AA2:AA8)</f>
        <v>29.448307970034111</v>
      </c>
      <c r="AA14">
        <f>AVERAGE(U2:U8)</f>
        <v>3.0148571428571427</v>
      </c>
      <c r="AD14" t="str">
        <f t="shared" si="11"/>
        <v>ALU3 15+</v>
      </c>
      <c r="AE14">
        <f t="shared" si="12"/>
        <v>14.338449579737514</v>
      </c>
      <c r="AF14">
        <f t="shared" si="13"/>
        <v>11.221278690632769</v>
      </c>
      <c r="AG14">
        <f t="shared" si="14"/>
        <v>6.5821386293648274</v>
      </c>
      <c r="AH14">
        <f t="shared" si="15"/>
        <v>-13.254693045222645</v>
      </c>
      <c r="AJ14" t="s">
        <v>136</v>
      </c>
      <c r="AK14">
        <f>IF(M37&gt;0,INDEX(D$2:D$1500,M37),0)</f>
        <v>2.004</v>
      </c>
      <c r="AL14">
        <f>IF(M37&gt;0,INDEX(AE$2:AH$1500,M37,1),0)</f>
        <v>31.905375574317773</v>
      </c>
      <c r="AM14">
        <v>2.25</v>
      </c>
      <c r="AN14" s="6">
        <f t="shared" si="25"/>
        <v>0.14132414738378818</v>
      </c>
      <c r="AO14" s="7">
        <f>IF(AK14&gt;0,$AN$16*AL14/AK14)</f>
        <v>2.2807783484930595</v>
      </c>
      <c r="AP14">
        <f>IF(AK14&gt;0,2.25)</f>
        <v>2.25</v>
      </c>
      <c r="AR14" t="str">
        <f t="shared" si="39"/>
        <v>Sulfanilamide</v>
      </c>
      <c r="AS14">
        <f t="shared" si="40"/>
        <v>4.0264861651875487E-5</v>
      </c>
      <c r="AT14">
        <f t="shared" ref="AT14:AT22" si="42">IF(AK5&gt;0,(AO5-AVERAGE(AO$4:AO$13))^2,0)</f>
        <v>43.78945191598838</v>
      </c>
      <c r="AW14" t="str">
        <f t="shared" si="16"/>
        <v>ALU3 15+</v>
      </c>
      <c r="AX14">
        <f t="shared" si="17"/>
        <v>6.7767083077460835E-2</v>
      </c>
      <c r="AY14">
        <f t="shared" si="21"/>
        <v>0.65493986123322534</v>
      </c>
      <c r="AZ14">
        <f t="shared" si="18"/>
        <v>4.4404039446157482</v>
      </c>
      <c r="BA14">
        <f t="shared" si="19"/>
        <v>-24.955316651115723</v>
      </c>
      <c r="BE14">
        <f>IF(COUNT($M$7:$M$21)=4,AVERAGE(INDEX(AX$2:AX$250,$M$7),INDEX(AX$2:AX$250,$M$8),INDEX(AX$2:AX$250,$M$9),INDEX(AX$2:AX$250,$M$10)),0)</f>
        <v>0</v>
      </c>
      <c r="BF14">
        <f t="shared" ref="BF14:BH14" si="43">IF(COUNT($M$7:$M$21)=4,AVERAGE(INDEX(AY$2:AY$250,$M$7),INDEX(AY$2:AY$250,$M$8),INDEX(AY$2:AY$250,$M$9),INDEX(AY$2:AY$250,$M$10)),0)</f>
        <v>0</v>
      </c>
      <c r="BG14">
        <f t="shared" si="43"/>
        <v>0</v>
      </c>
      <c r="BH14">
        <f t="shared" si="43"/>
        <v>0</v>
      </c>
      <c r="BJ14">
        <f t="shared" si="28"/>
        <v>1</v>
      </c>
      <c r="BK14">
        <f t="shared" si="29"/>
        <v>1</v>
      </c>
    </row>
    <row r="15" spans="1:63" x14ac:dyDescent="0.2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77</v>
      </c>
      <c r="C15" t="str">
        <f>IF(A15&gt;0,INDEX(original!$A$2:$K$1500,B15,2),0)</f>
        <v>ALU4 15+</v>
      </c>
      <c r="D15">
        <f>IF(A15&gt;0,INDEX(original!$A$2:$K$1500,B15,3),0)</f>
        <v>29.577999999999999</v>
      </c>
      <c r="E15">
        <f>IF(A15&gt;0,IF(INDEX(original!$P$2:$P$1500,B15+1)=2,INDEX(original!$A$2:$K$1500,B15+1,5),1000000),0)</f>
        <v>5208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4201</v>
      </c>
      <c r="G15">
        <f>IF(A15&gt;0,IF(INDEX(original!$P$2:$P$1500,B15+2)=3,INDEX(original!$A$2:$K$1500,B15+2,9),0.001),0)</f>
        <v>13.250999999999999</v>
      </c>
      <c r="H15">
        <f>IF(A15&gt;0,IF(INDEX(original!$P$2:$P$1500,B15+2)=4,INDEX(original!$A$2:$K$1500,B15+2,9),IF(INDEX(original!$P$2:$P$1500,B15+3)=4,INDEX(original!$A$2:$K$1500,B15+3,9),0.0001)),0)</f>
        <v>11.042999999999999</v>
      </c>
      <c r="I15">
        <f>IF(A15&gt;0,IF(INDEX(original!$P$2:$P$1500,B15+2)=3,INDEX(original!$A$2:$K$1500,B15+2,10),0.001),)</f>
        <v>7.2930000000000001</v>
      </c>
      <c r="J15">
        <f>IF(A15&gt;0,IF(INDEX(original!$P$2:$P$1500,B15+2)=4,INDEX(original!$A$2:$K$1500,B15+2,11),IF(INDEX(original!$P$2:$P$1500,B15+3)=4,INDEX(original!$A$2:$K$1500,B15+3,11),0.001)),0)</f>
        <v>-13.164999999999999</v>
      </c>
      <c r="L15" t="s">
        <v>153</v>
      </c>
      <c r="O15" t="b">
        <f t="shared" si="0"/>
        <v>0</v>
      </c>
      <c r="P15" t="b">
        <f t="shared" si="1"/>
        <v>0</v>
      </c>
      <c r="R15">
        <f t="shared" si="3"/>
        <v>13.281214213709676</v>
      </c>
      <c r="S15">
        <f t="shared" si="2"/>
        <v>11.05871719531064</v>
      </c>
      <c r="AD15" t="str">
        <f t="shared" si="11"/>
        <v>ALU4 15+</v>
      </c>
      <c r="AE15">
        <f t="shared" si="12"/>
        <v>13.732543629847436</v>
      </c>
      <c r="AF15">
        <f t="shared" si="13"/>
        <v>11.70116094800273</v>
      </c>
      <c r="AG15">
        <f t="shared" si="14"/>
        <v>6.6750150108497222</v>
      </c>
      <c r="AH15">
        <f t="shared" si="15"/>
        <v>-13.590328822541411</v>
      </c>
      <c r="AN15" s="6" t="s">
        <v>209</v>
      </c>
      <c r="AO15" s="9" t="s">
        <v>189</v>
      </c>
      <c r="AP15" s="10" t="s">
        <v>210</v>
      </c>
      <c r="AQ15" s="10">
        <f>AQ18</f>
        <v>3.7516732713760685</v>
      </c>
      <c r="AR15" t="str">
        <f t="shared" si="39"/>
        <v>Glycine</v>
      </c>
      <c r="AS15">
        <f t="shared" si="40"/>
        <v>2.5849337092024093E-2</v>
      </c>
      <c r="AT15">
        <f t="shared" si="42"/>
        <v>77.495212503549055</v>
      </c>
      <c r="AW15" t="str">
        <f t="shared" si="16"/>
        <v>ALU4 15+</v>
      </c>
      <c r="AX15">
        <f t="shared" si="17"/>
        <v>6.4868259122923419E-2</v>
      </c>
      <c r="AY15">
        <f t="shared" si="21"/>
        <v>0.67992560572318961</v>
      </c>
      <c r="AZ15">
        <f t="shared" si="18"/>
        <v>4.5338973670808711</v>
      </c>
      <c r="BA15">
        <f t="shared" si="19"/>
        <v>-25.292140504769048</v>
      </c>
      <c r="BE15">
        <f>IF(COUNT($M$7:$M$21)=3,AVERAGE(INDEX(AX$2:AX$250,$M$7),INDEX(AX$2:AX$250,$M$8),INDEX(AX$2:AX$250,$M$9)),0)</f>
        <v>0</v>
      </c>
      <c r="BF15">
        <f t="shared" ref="BF15:BH15" si="44">IF(COUNT($M$7:$M$21)=3,AVERAGE(INDEX(AY$2:AY$250,$M$7),INDEX(AY$2:AY$250,$M$8),INDEX(AY$2:AY$250,$M$9)),0)</f>
        <v>0</v>
      </c>
      <c r="BG15">
        <f t="shared" si="44"/>
        <v>0</v>
      </c>
      <c r="BH15">
        <f t="shared" si="44"/>
        <v>0</v>
      </c>
      <c r="BJ15">
        <f t="shared" si="28"/>
        <v>1</v>
      </c>
      <c r="BK15">
        <f t="shared" si="29"/>
        <v>1</v>
      </c>
    </row>
    <row r="16" spans="1:63" x14ac:dyDescent="0.2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83</v>
      </c>
      <c r="C16" t="str">
        <f>IF(A16&gt;0,INDEX(original!$A$2:$K$1500,B16,2),0)</f>
        <v>ALT1 15-25</v>
      </c>
      <c r="D16">
        <f>IF(A16&gt;0,INDEX(original!$A$2:$K$1500,B16,3),0)</f>
        <v>30.375</v>
      </c>
      <c r="E16">
        <f>IF(A16&gt;0,IF(INDEX(original!$P$2:$P$1500,B16+1)=2,INDEX(original!$A$2:$K$1500,B16+1,5),1000000),0)</f>
        <v>5209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4204</v>
      </c>
      <c r="G16">
        <f>IF(A16&gt;0,IF(INDEX(original!$P$2:$P$1500,B16+2)=3,INDEX(original!$A$2:$K$1500,B16+2,9),0.001),0)</f>
        <v>18.254000000000001</v>
      </c>
      <c r="H16">
        <f>IF(A16&gt;0,IF(INDEX(original!$P$2:$P$1500,B16+2)=4,INDEX(original!$A$2:$K$1500,B16+2,9),IF(INDEX(original!$P$2:$P$1500,B16+3)=4,INDEX(original!$A$2:$K$1500,B16+3,9),0.0001)),0)</f>
        <v>24.433</v>
      </c>
      <c r="I16">
        <f>IF(A16&gt;0,IF(INDEX(original!$P$2:$P$1500,B16+2)=3,INDEX(original!$A$2:$K$1500,B16+2,10),0.001),)</f>
        <v>6.4409999999999998</v>
      </c>
      <c r="J16">
        <f>IF(A16&gt;0,IF(INDEX(original!$P$2:$P$1500,B16+2)=4,INDEX(original!$A$2:$K$1500,B16+2,11),IF(INDEX(original!$P$2:$P$1500,B16+3)=4,INDEX(original!$A$2:$K$1500,B16+3,11),0.001)),0)</f>
        <v>-14.603999999999999</v>
      </c>
      <c r="L16" t="s">
        <v>154</v>
      </c>
      <c r="O16" t="b">
        <f t="shared" si="0"/>
        <v>0</v>
      </c>
      <c r="P16" t="b">
        <f t="shared" si="1"/>
        <v>0</v>
      </c>
      <c r="R16">
        <f t="shared" si="3"/>
        <v>18.292109473987331</v>
      </c>
      <c r="S16">
        <f t="shared" si="2"/>
        <v>24.450314457461147</v>
      </c>
      <c r="AD16" t="str">
        <f t="shared" si="11"/>
        <v>ALT1 15-25</v>
      </c>
      <c r="AE16">
        <f t="shared" si="12"/>
        <v>18.798542482105187</v>
      </c>
      <c r="AF16">
        <f t="shared" si="13"/>
        <v>25.198828004843477</v>
      </c>
      <c r="AG16">
        <f t="shared" si="14"/>
        <v>5.9068569772497588</v>
      </c>
      <c r="AH16">
        <f t="shared" si="15"/>
        <v>-14.960736997491757</v>
      </c>
      <c r="AM16" s="5" t="s">
        <v>185</v>
      </c>
      <c r="AN16" s="6">
        <f>AVERAGE(AN4:AN14)</f>
        <v>0.14325735798763828</v>
      </c>
      <c r="AO16" s="11"/>
      <c r="AR16" t="str">
        <f t="shared" si="39"/>
        <v>Methionine</v>
      </c>
      <c r="AS16">
        <f t="shared" si="40"/>
        <v>5.6027749144236796E-3</v>
      </c>
      <c r="AT16">
        <f t="shared" si="42"/>
        <v>2.2945679687222643E-3</v>
      </c>
      <c r="AW16" t="str">
        <f t="shared" si="16"/>
        <v>ALT1 15-25</v>
      </c>
      <c r="AX16">
        <f t="shared" si="17"/>
        <v>8.6798207740570968E-2</v>
      </c>
      <c r="AY16">
        <f t="shared" si="21"/>
        <v>1.3466939267688625</v>
      </c>
      <c r="AZ16">
        <f t="shared" si="18"/>
        <v>3.7606359371335816</v>
      </c>
      <c r="BA16">
        <f t="shared" si="19"/>
        <v>-26.667399621220198</v>
      </c>
      <c r="BE16">
        <f>IF(COUNT($M$7:$M$21)=2,AVERAGE(INDEX(AX$2:AX$250,$M$7),INDEX(AX$2:AX$250,$M$8)),0)</f>
        <v>0</v>
      </c>
      <c r="BF16">
        <f t="shared" ref="BF16:BH16" si="45">IF(COUNT($M$7:$M$21)=2,AVERAGE(INDEX(AY$2:AY$250,$M$7),INDEX(AY$2:AY$250,$M$8)),0)</f>
        <v>0</v>
      </c>
      <c r="BG16">
        <f t="shared" si="45"/>
        <v>0</v>
      </c>
      <c r="BH16">
        <f t="shared" si="45"/>
        <v>0</v>
      </c>
      <c r="BJ16">
        <f t="shared" si="28"/>
        <v>1</v>
      </c>
      <c r="BK16">
        <f t="shared" si="29"/>
        <v>1</v>
      </c>
    </row>
    <row r="17" spans="1:63" x14ac:dyDescent="0.2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89</v>
      </c>
      <c r="C17" t="str">
        <f>IF(A17&gt;0,INDEX(original!$A$2:$K$1500,B17,2),0)</f>
        <v>ALT1 25+</v>
      </c>
      <c r="D17">
        <f>IF(A17&gt;0,INDEX(original!$A$2:$K$1500,B17,3),0)</f>
        <v>29.495000000000001</v>
      </c>
      <c r="E17">
        <f>IF(A17&gt;0,IF(INDEX(original!$P$2:$P$1500,B17+1)=2,INDEX(original!$A$2:$K$1500,B17+1,5),1000000),0)</f>
        <v>5211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4204</v>
      </c>
      <c r="G17">
        <f>IF(A17&gt;0,IF(INDEX(original!$P$2:$P$1500,B17+2)=3,INDEX(original!$A$2:$K$1500,B17+2,9),0.001),0)</f>
        <v>14.582000000000001</v>
      </c>
      <c r="H17">
        <f>IF(A17&gt;0,IF(INDEX(original!$P$2:$P$1500,B17+2)=4,INDEX(original!$A$2:$K$1500,B17+2,9),IF(INDEX(original!$P$2:$P$1500,B17+3)=4,INDEX(original!$A$2:$K$1500,B17+3,9),0.0001)),0)</f>
        <v>12.545</v>
      </c>
      <c r="I17">
        <f>IF(A17&gt;0,IF(INDEX(original!$P$2:$P$1500,B17+2)=3,INDEX(original!$A$2:$K$1500,B17+2,10),0.001),)</f>
        <v>7.0019999999999998</v>
      </c>
      <c r="J17">
        <f>IF(A17&gt;0,IF(INDEX(original!$P$2:$P$1500,B17+2)=4,INDEX(original!$A$2:$K$1500,B17+2,11),IF(INDEX(original!$P$2:$P$1500,B17+3)=4,INDEX(original!$A$2:$K$1500,B17+3,11),0.001)),0)</f>
        <v>-9.5960000000000001</v>
      </c>
      <c r="L17" t="s">
        <v>155</v>
      </c>
      <c r="O17" t="b">
        <f t="shared" si="0"/>
        <v>0</v>
      </c>
      <c r="P17" t="b">
        <f t="shared" si="1"/>
        <v>0</v>
      </c>
      <c r="R17">
        <f t="shared" si="3"/>
        <v>14.606835012473613</v>
      </c>
      <c r="S17">
        <f t="shared" si="2"/>
        <v>12.553890020417064</v>
      </c>
      <c r="X17" t="s">
        <v>211</v>
      </c>
      <c r="Z17" t="s">
        <v>198</v>
      </c>
      <c r="AD17" t="str">
        <f t="shared" si="11"/>
        <v>ALT1 25+</v>
      </c>
      <c r="AE17">
        <f t="shared" si="12"/>
        <v>15.078262846872363</v>
      </c>
      <c r="AF17">
        <f t="shared" si="13"/>
        <v>13.239371191187082</v>
      </c>
      <c r="AG17">
        <f t="shared" si="14"/>
        <v>6.406465056021827</v>
      </c>
      <c r="AH17">
        <f t="shared" si="15"/>
        <v>-10.013713594652023</v>
      </c>
      <c r="AM17" t="s">
        <v>212</v>
      </c>
      <c r="AN17">
        <f>(AS4*AS8-AS6*AS5)/(AS4*AS7-AS6*AS6)</f>
        <v>0.97916671772448793</v>
      </c>
      <c r="AO17">
        <f>(AT4*AT8-AT6*AT5)/(AT4*AT7-AT6*AT6)</f>
        <v>1.0099223028942346</v>
      </c>
      <c r="AP17">
        <f>AN17-AO17</f>
        <v>-3.0755585169746635E-2</v>
      </c>
      <c r="AR17" t="str">
        <f t="shared" si="39"/>
        <v>USGS-40</v>
      </c>
      <c r="AS17">
        <f t="shared" si="40"/>
        <v>8.67003799411414E-4</v>
      </c>
      <c r="AT17">
        <f t="shared" si="42"/>
        <v>2.7654382311530158E-3</v>
      </c>
      <c r="AW17" t="str">
        <f t="shared" si="16"/>
        <v>ALT1 25+</v>
      </c>
      <c r="AX17">
        <f t="shared" si="17"/>
        <v>7.1525535173141003E-2</v>
      </c>
      <c r="AY17">
        <f t="shared" si="21"/>
        <v>0.7617604065463025</v>
      </c>
      <c r="AZ17">
        <f t="shared" si="18"/>
        <v>4.2635632522252269</v>
      </c>
      <c r="BA17">
        <f t="shared" si="19"/>
        <v>-21.702864850914242</v>
      </c>
      <c r="BJ17">
        <f t="shared" si="28"/>
        <v>1</v>
      </c>
      <c r="BK17">
        <f t="shared" si="29"/>
        <v>1</v>
      </c>
    </row>
    <row r="18" spans="1:63" x14ac:dyDescent="0.2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95</v>
      </c>
      <c r="C18" t="str">
        <f>IF(A18&gt;0,INDEX(original!$A$2:$K$1500,B18,2),0)</f>
        <v>ALT2 15-25</v>
      </c>
      <c r="D18">
        <f>IF(A18&gt;0,INDEX(original!$A$2:$K$1500,B18,3),0)</f>
        <v>30.132999999999999</v>
      </c>
      <c r="E18">
        <f>IF(A18&gt;0,IF(INDEX(original!$P$2:$P$1500,B18+1)=2,INDEX(original!$A$2:$K$1500,B18+1,5),1000000),0)</f>
        <v>5211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4201</v>
      </c>
      <c r="G18">
        <f>IF(A18&gt;0,IF(INDEX(original!$P$2:$P$1500,B18+2)=3,INDEX(original!$A$2:$K$1500,B18+2,9),0.001),0)</f>
        <v>16.751999999999999</v>
      </c>
      <c r="H18">
        <f>IF(A18&gt;0,IF(INDEX(original!$P$2:$P$1500,B18+2)=4,INDEX(original!$A$2:$K$1500,B18+2,9),IF(INDEX(original!$P$2:$P$1500,B18+3)=4,INDEX(original!$A$2:$K$1500,B18+3,9),0.0001)),0)</f>
        <v>14.538</v>
      </c>
      <c r="I18">
        <f>IF(A18&gt;0,IF(INDEX(original!$P$2:$P$1500,B18+2)=3,INDEX(original!$A$2:$K$1500,B18+2,10),0.001),)</f>
        <v>7.42</v>
      </c>
      <c r="J18">
        <f>IF(A18&gt;0,IF(INDEX(original!$P$2:$P$1500,B18+2)=4,INDEX(original!$A$2:$K$1500,B18+2,11),IF(INDEX(original!$P$2:$P$1500,B18+3)=4,INDEX(original!$A$2:$K$1500,B18+3,11),0.001)),0)</f>
        <v>-12.852</v>
      </c>
      <c r="L18" t="s">
        <v>156</v>
      </c>
      <c r="O18" t="b">
        <f t="shared" si="0"/>
        <v>0</v>
      </c>
      <c r="P18" t="b">
        <f t="shared" si="1"/>
        <v>0</v>
      </c>
      <c r="R18">
        <f t="shared" si="3"/>
        <v>16.780530800230281</v>
      </c>
      <c r="S18">
        <f t="shared" si="2"/>
        <v>14.55869153177815</v>
      </c>
      <c r="U18" t="s">
        <v>190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ALT2 15-25</v>
      </c>
      <c r="AE18">
        <f t="shared" si="12"/>
        <v>17.276223184844486</v>
      </c>
      <c r="AF18">
        <f t="shared" si="13"/>
        <v>15.288014230047251</v>
      </c>
      <c r="AG18">
        <f t="shared" si="14"/>
        <v>6.8608575169592161</v>
      </c>
      <c r="AH18">
        <f t="shared" si="15"/>
        <v>-13.259485737029465</v>
      </c>
      <c r="AM18" t="s">
        <v>201</v>
      </c>
      <c r="AN18">
        <f>(AS5*AS7-AS6*AS8)/(AS4*AS7-AS6*AS6)</f>
        <v>0.11638486937363779</v>
      </c>
      <c r="AO18">
        <f>(AT5*AT7-AT6*AT8)/(AT4*AT7-AT6*AT6)</f>
        <v>9.99962546769132E-4</v>
      </c>
      <c r="AP18">
        <f>AN18-AO18</f>
        <v>0.11538490682686865</v>
      </c>
      <c r="AQ18">
        <f>-AP18/AP17</f>
        <v>3.7516732713760685</v>
      </c>
      <c r="AR18" t="str">
        <f t="shared" si="39"/>
        <v>USGS-41</v>
      </c>
      <c r="AS18">
        <f t="shared" si="40"/>
        <v>5.9299948832993596E-2</v>
      </c>
      <c r="AT18">
        <f t="shared" si="42"/>
        <v>7.1106656472918389E-2</v>
      </c>
      <c r="AW18" t="str">
        <f t="shared" si="16"/>
        <v>ALT2 15-25</v>
      </c>
      <c r="AX18">
        <f t="shared" si="17"/>
        <v>8.0336984804971132E-2</v>
      </c>
      <c r="AY18">
        <f t="shared" si="21"/>
        <v>0.85161216251414995</v>
      </c>
      <c r="AZ18">
        <f t="shared" si="18"/>
        <v>4.7209745513755461</v>
      </c>
      <c r="BA18">
        <f t="shared" si="19"/>
        <v>-24.960126307990329</v>
      </c>
      <c r="BE18" t="s">
        <v>213</v>
      </c>
      <c r="BJ18">
        <f t="shared" si="28"/>
        <v>1</v>
      </c>
      <c r="BK18">
        <f t="shared" si="29"/>
        <v>1</v>
      </c>
    </row>
    <row r="19" spans="1:63" x14ac:dyDescent="0.2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101</v>
      </c>
      <c r="C19" t="str">
        <f>IF(A19&gt;0,INDEX(original!$A$2:$K$1500,B19,2),0)</f>
        <v>ALT2 25+</v>
      </c>
      <c r="D19">
        <f>IF(A19&gt;0,INDEX(original!$A$2:$K$1500,B19,3),0)</f>
        <v>30.187999999999999</v>
      </c>
      <c r="E19">
        <f>IF(A19&gt;0,IF(INDEX(original!$P$2:$P$1500,B19+1)=2,INDEX(original!$A$2:$K$1500,B19+1,5),1000000),0)</f>
        <v>5209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4203</v>
      </c>
      <c r="G19">
        <f>IF(A19&gt;0,IF(INDEX(original!$P$2:$P$1500,B19+2)=3,INDEX(original!$A$2:$K$1500,B19+2,9),0.001),0)</f>
        <v>14.268000000000001</v>
      </c>
      <c r="H19">
        <f>IF(A19&gt;0,IF(INDEX(original!$P$2:$P$1500,B19+2)=4,INDEX(original!$A$2:$K$1500,B19+2,9),IF(INDEX(original!$P$2:$P$1500,B19+3)=4,INDEX(original!$A$2:$K$1500,B19+3,9),0.0001)),0)</f>
        <v>10.651</v>
      </c>
      <c r="I19">
        <f>IF(A19&gt;0,IF(INDEX(original!$P$2:$P$1500,B19+2)=3,INDEX(original!$A$2:$K$1500,B19+2,10),0.001),)</f>
        <v>7.1769999999999996</v>
      </c>
      <c r="J19">
        <f>IF(A19&gt;0,IF(INDEX(original!$P$2:$P$1500,B19+2)=4,INDEX(original!$A$2:$K$1500,B19+2,11),IF(INDEX(original!$P$2:$P$1500,B19+3)=4,INDEX(original!$A$2:$K$1500,B19+3,11),0.001)),0)</f>
        <v>-11.178000000000001</v>
      </c>
      <c r="L19" t="s">
        <v>157</v>
      </c>
      <c r="O19" t="b">
        <f t="shared" si="0"/>
        <v>0</v>
      </c>
      <c r="P19" t="b">
        <f t="shared" si="1"/>
        <v>0</v>
      </c>
      <c r="R19">
        <f t="shared" si="3"/>
        <v>14.297787771165291</v>
      </c>
      <c r="S19">
        <f t="shared" si="2"/>
        <v>10.66108377448648</v>
      </c>
      <c r="U19" t="s">
        <v>214</v>
      </c>
      <c r="V19">
        <f>SUM(V2:V8)</f>
        <v>441.29225277633526</v>
      </c>
      <c r="W19">
        <f>SUM(V2:V8)</f>
        <v>441.29225277633526</v>
      </c>
      <c r="X19">
        <f>SUM(X4:X8)</f>
        <v>562.98088028205962</v>
      </c>
      <c r="Y19">
        <f>SUM(X2:X8)</f>
        <v>630.30720574506904</v>
      </c>
      <c r="Z19">
        <f>SUM(X2:X5)</f>
        <v>178.97039436072504</v>
      </c>
      <c r="AD19" t="str">
        <f t="shared" si="11"/>
        <v>ALT2 25+</v>
      </c>
      <c r="AE19">
        <f t="shared" si="12"/>
        <v>14.764895545125533</v>
      </c>
      <c r="AF19">
        <f t="shared" si="13"/>
        <v>11.290525497725001</v>
      </c>
      <c r="AG19">
        <f t="shared" si="14"/>
        <v>6.5762485414770051</v>
      </c>
      <c r="AH19">
        <f t="shared" si="15"/>
        <v>-11.605352230918264</v>
      </c>
      <c r="AM19" t="s">
        <v>215</v>
      </c>
      <c r="AN19">
        <f>1-SUM(AS13:AS22)/SUM(AT13:AT22)</f>
        <v>0.99957725884087434</v>
      </c>
      <c r="AO19">
        <f>1-SUM(AS27,AS30:AS32,AS34:AS35)/SUM(AT27,AT30:AT32,AT34:AT35)</f>
        <v>0.99954678355886384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ALT2 25+</v>
      </c>
      <c r="AX19">
        <f t="shared" si="17"/>
        <v>6.8388378823472457E-2</v>
      </c>
      <c r="AY19">
        <f t="shared" si="21"/>
        <v>0.64674532486171221</v>
      </c>
      <c r="AZ19">
        <f t="shared" si="18"/>
        <v>4.4344747248674263</v>
      </c>
      <c r="BA19">
        <f t="shared" si="19"/>
        <v>-23.30013753552905</v>
      </c>
      <c r="BE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F19">
        <f t="shared" ref="BF19:BH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G19">
        <f t="shared" si="46"/>
        <v>0</v>
      </c>
      <c r="BH19">
        <f t="shared" si="46"/>
        <v>0</v>
      </c>
      <c r="BJ19">
        <f t="shared" si="28"/>
        <v>1</v>
      </c>
      <c r="BK19">
        <f t="shared" si="29"/>
        <v>1</v>
      </c>
    </row>
    <row r="20" spans="1:63" x14ac:dyDescent="0.2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107</v>
      </c>
      <c r="C20" t="str">
        <f>IF(A20&gt;0,INDEX(original!$A$2:$K$1500,B20,2),0)</f>
        <v>ALT3 15-25</v>
      </c>
      <c r="D20">
        <f>IF(A20&gt;0,INDEX(original!$A$2:$K$1500,B20,3),0)</f>
        <v>3.0314999999999999</v>
      </c>
      <c r="E20">
        <f>IF(A20&gt;0,IF(INDEX(original!$P$2:$P$1500,B20+1)=2,INDEX(original!$A$2:$K$1500,B20+1,5),1000000),0)</f>
        <v>5211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4204</v>
      </c>
      <c r="G20">
        <f>IF(A20&gt;0,IF(INDEX(original!$P$2:$P$1500,B20+2)=3,INDEX(original!$A$2:$K$1500,B20+2,9),0.001),0)</f>
        <v>14.486000000000001</v>
      </c>
      <c r="H20">
        <f>IF(A20&gt;0,IF(INDEX(original!$P$2:$P$1500,B20+2)=4,INDEX(original!$A$2:$K$1500,B20+2,9),IF(INDEX(original!$P$2:$P$1500,B20+3)=4,INDEX(original!$A$2:$K$1500,B20+3,9),0.0001)),0)</f>
        <v>11.907</v>
      </c>
      <c r="I20">
        <f>IF(A20&gt;0,IF(INDEX(original!$P$2:$P$1500,B20+2)=3,INDEX(original!$A$2:$K$1500,B20+2,10),0.001),)</f>
        <v>7.64</v>
      </c>
      <c r="J20">
        <f>IF(A20&gt;0,IF(INDEX(original!$P$2:$P$1500,B20+2)=4,INDEX(original!$A$2:$K$1500,B20+2,11),IF(INDEX(original!$P$2:$P$1500,B20+3)=4,INDEX(original!$A$2:$K$1500,B20+3,11),0.001)),0)</f>
        <v>-12.997</v>
      </c>
      <c r="L20" t="s">
        <v>158</v>
      </c>
      <c r="O20" t="b">
        <f t="shared" si="0"/>
        <v>0</v>
      </c>
      <c r="P20" t="b">
        <f t="shared" si="1"/>
        <v>0</v>
      </c>
      <c r="R20">
        <f t="shared" si="3"/>
        <v>14.510671512185763</v>
      </c>
      <c r="S20">
        <f t="shared" si="2"/>
        <v>11.915437901403426</v>
      </c>
      <c r="U20" t="s">
        <v>216</v>
      </c>
      <c r="V20">
        <f>SUM(Z2:Z8)</f>
        <v>144.52191575317781</v>
      </c>
      <c r="W20">
        <f>SUM(W2:W8)</f>
        <v>30.128</v>
      </c>
      <c r="X20">
        <f>SUM(AA4:AA8)</f>
        <v>148.50883184123342</v>
      </c>
      <c r="Y20">
        <f>SUM(Y2:Y8)</f>
        <v>-99.805999999999983</v>
      </c>
      <c r="Z20">
        <f>SUM(AA2:AA5)</f>
        <v>115.94061703582167</v>
      </c>
      <c r="AD20" t="str">
        <f t="shared" si="11"/>
        <v>ALT3 15-25</v>
      </c>
      <c r="AE20">
        <f t="shared" si="12"/>
        <v>14.98077871940443</v>
      </c>
      <c r="AF20">
        <f t="shared" si="13"/>
        <v>12.583656493499751</v>
      </c>
      <c r="AG20">
        <f t="shared" si="14"/>
        <v>7.0428430100521844</v>
      </c>
      <c r="AH20">
        <f t="shared" si="15"/>
        <v>-13.417966688785061</v>
      </c>
      <c r="AJ20" t="s">
        <v>217</v>
      </c>
      <c r="AR20" t="str">
        <f t="shared" si="39"/>
        <v>BRS</v>
      </c>
      <c r="AS20">
        <f t="shared" si="40"/>
        <v>1.2341047116122028E-2</v>
      </c>
      <c r="AT20">
        <f t="shared" si="42"/>
        <v>85.056241368268815</v>
      </c>
      <c r="AW20" t="str">
        <f t="shared" si="16"/>
        <v>ALT3 15-25</v>
      </c>
      <c r="AX20">
        <f t="shared" si="17"/>
        <v>0.69999012621481482</v>
      </c>
      <c r="AY20">
        <f t="shared" si="21"/>
        <v>6.4495785768318212</v>
      </c>
      <c r="AZ20">
        <f t="shared" si="18"/>
        <v>4.9041690978925399</v>
      </c>
      <c r="BA20">
        <f t="shared" si="19"/>
        <v>-25.119168247223971</v>
      </c>
      <c r="BE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F20">
        <f t="shared" ref="BF20:BH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G20">
        <f t="shared" si="47"/>
        <v>0</v>
      </c>
      <c r="BH20">
        <f t="shared" si="47"/>
        <v>0</v>
      </c>
      <c r="BJ20">
        <f t="shared" si="28"/>
        <v>1</v>
      </c>
      <c r="BK20">
        <f t="shared" si="29"/>
        <v>1</v>
      </c>
    </row>
    <row r="21" spans="1:63" x14ac:dyDescent="0.2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113</v>
      </c>
      <c r="C21" t="str">
        <f>IF(A21&gt;0,INDEX(original!$A$2:$K$1500,B21,2),0)</f>
        <v>ALT3 25+</v>
      </c>
      <c r="D21">
        <f>IF(A21&gt;0,INDEX(original!$A$2:$K$1500,B21,3),0)</f>
        <v>30.227</v>
      </c>
      <c r="E21">
        <f>IF(A21&gt;0,IF(INDEX(original!$P$2:$P$1500,B21+1)=2,INDEX(original!$A$2:$K$1500,B21+1,5),1000000),0)</f>
        <v>5214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4203</v>
      </c>
      <c r="G21">
        <f>IF(A21&gt;0,IF(INDEX(original!$P$2:$P$1500,B21+2)=3,INDEX(original!$A$2:$K$1500,B21+2,9),0.001),0)</f>
        <v>18.225999999999999</v>
      </c>
      <c r="H21">
        <f>IF(A21&gt;0,IF(INDEX(original!$P$2:$P$1500,B21+2)=4,INDEX(original!$A$2:$K$1500,B21+2,9),IF(INDEX(original!$P$2:$P$1500,B21+3)=4,INDEX(original!$A$2:$K$1500,B21+3,9),0.0001)),0)</f>
        <v>15.875</v>
      </c>
      <c r="I21">
        <f>IF(A21&gt;0,IF(INDEX(original!$P$2:$P$1500,B21+2)=3,INDEX(original!$A$2:$K$1500,B21+2,10),0.001),)</f>
        <v>7.3650000000000002</v>
      </c>
      <c r="J21">
        <f>IF(A21&gt;0,IF(INDEX(original!$P$2:$P$1500,B21+2)=4,INDEX(original!$A$2:$K$1500,B21+2,11),IF(INDEX(original!$P$2:$P$1500,B21+3)=4,INDEX(original!$A$2:$K$1500,B21+3,11),0.001)),0)</f>
        <v>-13.082000000000001</v>
      </c>
      <c r="L21" t="s">
        <v>159</v>
      </c>
      <c r="O21" t="b">
        <f t="shared" si="0"/>
        <v>0</v>
      </c>
      <c r="P21" t="b">
        <f t="shared" si="1"/>
        <v>0</v>
      </c>
      <c r="R21">
        <f t="shared" si="3"/>
        <v>18.246536584196395</v>
      </c>
      <c r="S21">
        <f t="shared" si="2"/>
        <v>15.890029567174244</v>
      </c>
      <c r="U21" t="s">
        <v>218</v>
      </c>
      <c r="V21">
        <f>SUM($V2^2,$V3^2,$V4^2,$V5^2,$V6^2,$V7^2,$V8^2)</f>
        <v>39428.839833830032</v>
      </c>
      <c r="W21">
        <f>SUM($V2^2,$V3^2,$V4^2,$V5^2,$V6^2,$V7^2,$V8^2)</f>
        <v>39428.839833830032</v>
      </c>
      <c r="X21">
        <f>SUM($X4^2,$X5^2,$X6^2,$X7^2,$X8^2)</f>
        <v>77510.474582576629</v>
      </c>
      <c r="Y21">
        <f>SUM($X2^2,$X3^2,$X4^2,$X5^2,$X6^2,$X7^2,$X8^2)</f>
        <v>80543.879983312276</v>
      </c>
      <c r="Z21">
        <f>SUM($X2^2,$X3^2,$X4^2,$X5^2)</f>
        <v>10746.175810980514</v>
      </c>
      <c r="AD21" t="str">
        <f t="shared" si="11"/>
        <v>ALT3 25+</v>
      </c>
      <c r="AE21">
        <f t="shared" si="12"/>
        <v>18.752717318604372</v>
      </c>
      <c r="AF21">
        <f t="shared" si="13"/>
        <v>16.640186413463415</v>
      </c>
      <c r="AG21">
        <f t="shared" si="14"/>
        <v>6.8301069538520327</v>
      </c>
      <c r="AH21">
        <f t="shared" si="15"/>
        <v>-13.482682924324571</v>
      </c>
      <c r="AK21" t="s">
        <v>219</v>
      </c>
      <c r="AL21" t="s">
        <v>167</v>
      </c>
      <c r="AM21" t="s">
        <v>168</v>
      </c>
      <c r="AN21" t="s">
        <v>169</v>
      </c>
      <c r="AO21" t="s">
        <v>170</v>
      </c>
      <c r="AR21" t="str">
        <f t="shared" si="39"/>
        <v>Peach</v>
      </c>
      <c r="AS21">
        <f t="shared" si="40"/>
        <v>9.528192793467721E-4</v>
      </c>
      <c r="AT21">
        <f t="shared" si="42"/>
        <v>41.851149439832909</v>
      </c>
      <c r="AW21" t="str">
        <f t="shared" si="16"/>
        <v>ALT3 25+</v>
      </c>
      <c r="AX21">
        <f t="shared" si="17"/>
        <v>8.7012995222526604E-2</v>
      </c>
      <c r="AY21">
        <f t="shared" si="21"/>
        <v>0.91791627722984148</v>
      </c>
      <c r="AZ21">
        <f t="shared" si="18"/>
        <v>4.6900196913599466</v>
      </c>
      <c r="BA21">
        <f t="shared" si="19"/>
        <v>-25.184113563907694</v>
      </c>
      <c r="BE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F21">
        <f t="shared" ref="BF21:BH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G21">
        <f t="shared" si="48"/>
        <v>0</v>
      </c>
      <c r="BH21">
        <f t="shared" si="48"/>
        <v>0</v>
      </c>
      <c r="BJ21">
        <f t="shared" si="28"/>
        <v>1</v>
      </c>
      <c r="BK21">
        <f t="shared" si="29"/>
        <v>1</v>
      </c>
    </row>
    <row r="22" spans="1:63" x14ac:dyDescent="0.2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119</v>
      </c>
      <c r="C22" t="str">
        <f>IF(A22&gt;0,INDEX(original!$A$2:$K$1500,B22,2),0)</f>
        <v>ALT4 15-25</v>
      </c>
      <c r="D22">
        <f>IF(A22&gt;0,INDEX(original!$A$2:$K$1500,B22,3),0)</f>
        <v>29.875</v>
      </c>
      <c r="E22">
        <f>IF(A22&gt;0,IF(INDEX(original!$P$2:$P$1500,B22+1)=2,INDEX(original!$A$2:$K$1500,B22+1,5),1000000),0)</f>
        <v>5213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4204</v>
      </c>
      <c r="G22">
        <f>IF(A22&gt;0,IF(INDEX(original!$P$2:$P$1500,B22+2)=3,INDEX(original!$A$2:$K$1500,B22+2,9),0.001),0)</f>
        <v>14.6</v>
      </c>
      <c r="H22">
        <f>IF(A22&gt;0,IF(INDEX(original!$P$2:$P$1500,B22+2)=4,INDEX(original!$A$2:$K$1500,B22+2,9),IF(INDEX(original!$P$2:$P$1500,B22+3)=4,INDEX(original!$A$2:$K$1500,B22+3,9),0.0001)),0)</f>
        <v>12.611000000000001</v>
      </c>
      <c r="I22">
        <f>IF(A22&gt;0,IF(INDEX(original!$P$2:$P$1500,B22+2)=3,INDEX(original!$A$2:$K$1500,B22+2,10),0.001),)</f>
        <v>7.43</v>
      </c>
      <c r="J22">
        <f>IF(A22&gt;0,IF(INDEX(original!$P$2:$P$1500,B22+2)=4,INDEX(original!$A$2:$K$1500,B22+2,11),IF(INDEX(original!$P$2:$P$1500,B22+3)=4,INDEX(original!$A$2:$K$1500,B22+3,11),0.001)),0)</f>
        <v>-12.843</v>
      </c>
      <c r="R22">
        <f t="shared" si="3"/>
        <v>14.61925474774602</v>
      </c>
      <c r="S22">
        <f t="shared" si="2"/>
        <v>12.61993679134951</v>
      </c>
      <c r="U22" t="s">
        <v>220</v>
      </c>
      <c r="V22">
        <f>SUM(V2^3,V3^3,V4^3,V5^3,V6^3,V7^3,V8^3)</f>
        <v>4046737.6447788579</v>
      </c>
      <c r="W22">
        <f>V22</f>
        <v>4046737.6447788579</v>
      </c>
      <c r="X22">
        <f>SUM(X4^3,X5^3,X6^3,X7^3,X8^3)</f>
        <v>11667425.947471784</v>
      </c>
      <c r="Y22">
        <f t="shared" ref="Y22:Y23" si="49">X22</f>
        <v>11667425.947471784</v>
      </c>
      <c r="Z22">
        <f>SUM(X2^3,X3^3,X4^3,X5^3)</f>
        <v>749592.07232116349</v>
      </c>
      <c r="AD22" t="str">
        <f t="shared" si="11"/>
        <v>ALT4 15-25</v>
      </c>
      <c r="AE22">
        <f t="shared" si="12"/>
        <v>15.090851592633889</v>
      </c>
      <c r="AF22">
        <f t="shared" si="13"/>
        <v>13.307110632707627</v>
      </c>
      <c r="AG22">
        <f t="shared" si="14"/>
        <v>6.8346744724656467</v>
      </c>
      <c r="AH22">
        <f t="shared" si="15"/>
        <v>-13.260376955045844</v>
      </c>
      <c r="AJ22">
        <f>IF(M7&gt;0,M7)</f>
        <v>9</v>
      </c>
      <c r="AK22">
        <f>IF(M7&gt;0,INDEX($D$2:$D$1500,$M7))</f>
        <v>12</v>
      </c>
      <c r="AL22">
        <f>IF(M7&gt;0,INDEX($AE$2:$AH$1500,$M7,1))</f>
        <v>17.445712542748161</v>
      </c>
      <c r="AM22">
        <f>IF(M7&gt;0,INDEX($AE$2:$AH$1500,$M7,2))</f>
        <v>25.252086832499817</v>
      </c>
      <c r="AN22">
        <f>IF(M7&gt;0,INDEX($AE$2:$AH$1500,$M7,3))</f>
        <v>5.4126493249162584</v>
      </c>
      <c r="AO22">
        <f>IF(M7&gt;0,INDEX($AE$2:$AH$1500,$M7,4))</f>
        <v>-7.5944590905845812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ALT4 15-25</v>
      </c>
      <c r="AX22">
        <f t="shared" si="17"/>
        <v>7.0662932871533884E-2</v>
      </c>
      <c r="AY22">
        <f t="shared" si="21"/>
        <v>0.7564721582757099</v>
      </c>
      <c r="AZ22">
        <f t="shared" si="18"/>
        <v>4.6946175551067091</v>
      </c>
      <c r="BA22">
        <f t="shared" si="19"/>
        <v>-24.961020680721152</v>
      </c>
      <c r="BE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F22">
        <f t="shared" ref="BF22:BH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G22">
        <f t="shared" si="50"/>
        <v>0</v>
      </c>
      <c r="BH22">
        <f t="shared" si="50"/>
        <v>0</v>
      </c>
      <c r="BJ22">
        <f t="shared" si="28"/>
        <v>1</v>
      </c>
      <c r="BK22">
        <f t="shared" si="29"/>
        <v>1</v>
      </c>
    </row>
    <row r="23" spans="1:63" x14ac:dyDescent="0.2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125</v>
      </c>
      <c r="C23" t="str">
        <f>IF(A23&gt;0,INDEX(original!$A$2:$K$1500,B23,2),0)</f>
        <v>ALT4 25+</v>
      </c>
      <c r="D23">
        <f>IF(A23&gt;0,INDEX(original!$A$2:$K$1500,B23,3),0)</f>
        <v>29.428000000000001</v>
      </c>
      <c r="E23">
        <f>IF(A23&gt;0,IF(INDEX(original!$P$2:$P$1500,B23+1)=2,INDEX(original!$A$2:$K$1500,B23+1,5),1000000),0)</f>
        <v>5214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4205</v>
      </c>
      <c r="G23">
        <f>IF(A23&gt;0,IF(INDEX(original!$P$2:$P$1500,B23+2)=3,INDEX(original!$A$2:$K$1500,B23+2,9),0.001),0)</f>
        <v>13.414999999999999</v>
      </c>
      <c r="H23">
        <f>IF(A23&gt;0,IF(INDEX(original!$P$2:$P$1500,B23+2)=4,INDEX(original!$A$2:$K$1500,B23+2,9),IF(INDEX(original!$P$2:$P$1500,B23+3)=4,INDEX(original!$A$2:$K$1500,B23+3,9),0.0001)),0)</f>
        <v>9.9369999999999994</v>
      </c>
      <c r="I23">
        <f>IF(A23&gt;0,IF(INDEX(original!$P$2:$P$1500,B23+2)=3,INDEX(original!$A$2:$K$1500,B23+2,10),0.001),)</f>
        <v>7.202</v>
      </c>
      <c r="J23">
        <f>IF(A23&gt;0,IF(INDEX(original!$P$2:$P$1500,B23+2)=4,INDEX(original!$A$2:$K$1500,B23+2,11),IF(INDEX(original!$P$2:$P$1500,B23+3)=4,INDEX(original!$A$2:$K$1500,B23+3,11),0.001)),0)</f>
        <v>-12.561</v>
      </c>
      <c r="O23">
        <f>AVERAGE(O2:O21)</f>
        <v>5.6980000000000004</v>
      </c>
      <c r="P23">
        <f>AVERAGE(P2:P21)</f>
        <v>-7.3135999999999992</v>
      </c>
      <c r="R23">
        <f t="shared" si="3"/>
        <v>13.430115674146528</v>
      </c>
      <c r="S23">
        <f t="shared" si="2"/>
        <v>9.9416770461751884</v>
      </c>
      <c r="U23" t="s">
        <v>221</v>
      </c>
      <c r="V23">
        <f>SUM(V2^4,V3^4,V4^4,V5^4,V6^4,V7^4,V8^4)</f>
        <v>443704924.9917438</v>
      </c>
      <c r="W23">
        <f>V23</f>
        <v>443704924.9917438</v>
      </c>
      <c r="X23">
        <f>SUM(X4^4,X5^4,X6^4,X7^4,X8^4)</f>
        <v>1844556935.7657936</v>
      </c>
      <c r="Y23">
        <f t="shared" si="49"/>
        <v>1844556935.7657936</v>
      </c>
      <c r="Z23">
        <f>SUM(X2^4,X3^4,X4^4,X5^4)</f>
        <v>56275249.567509316</v>
      </c>
      <c r="AD23" t="str">
        <f t="shared" si="11"/>
        <v>ALT4 25+</v>
      </c>
      <c r="AE23">
        <f t="shared" si="12"/>
        <v>13.883907828039876</v>
      </c>
      <c r="AF23">
        <f t="shared" si="13"/>
        <v>10.545882966063255</v>
      </c>
      <c r="AG23">
        <f t="shared" si="14"/>
        <v>6.5865464091684469</v>
      </c>
      <c r="AH23">
        <f t="shared" si="15"/>
        <v>-12.992011078658091</v>
      </c>
      <c r="AJ23">
        <f t="shared" ref="AJ23:AJ35" si="51">IF(M8&gt;0,M8)</f>
        <v>24</v>
      </c>
      <c r="AK23">
        <f t="shared" ref="AK23:AK36" si="52">IF(M8&gt;0,INDEX($D$2:$D$1500,$M8))</f>
        <v>12.004</v>
      </c>
      <c r="AL23">
        <f t="shared" ref="AL23:AL36" si="53">IF(M8&gt;0,INDEX($AE$2:$AH$1500,$M8,1))</f>
        <v>16.9333510494703</v>
      </c>
      <c r="AM23">
        <f t="shared" ref="AM23:AM36" si="54">IF(M8&gt;0,INDEX($AE$2:$AH$1500,$M8,2))</f>
        <v>24.693264200721607</v>
      </c>
      <c r="AN23">
        <f t="shared" ref="AN23:AN36" si="55">IF(M8&gt;0,INDEX($AE$2:$AH$1500,$M8,3))</f>
        <v>5.4582033555679299</v>
      </c>
      <c r="AO23">
        <f t="shared" ref="AO23:AO36" si="56">IF(M8&gt;0,INDEX($AE$2:$AH$1500,$M8,4))</f>
        <v>-7.7493725046300179</v>
      </c>
      <c r="AW23" t="str">
        <f t="shared" si="16"/>
        <v>ALT4 25+</v>
      </c>
      <c r="AX23">
        <f t="shared" si="17"/>
        <v>6.593356267769046E-2</v>
      </c>
      <c r="AY23">
        <f t="shared" si="21"/>
        <v>0.62270891514922466</v>
      </c>
      <c r="AZ23">
        <f t="shared" si="18"/>
        <v>4.4448410082989414</v>
      </c>
      <c r="BA23">
        <f t="shared" si="19"/>
        <v>-24.691704848553098</v>
      </c>
      <c r="BE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F23">
        <f t="shared" ref="BF23:BH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G23">
        <f t="shared" si="57"/>
        <v>0</v>
      </c>
      <c r="BH23">
        <f t="shared" si="57"/>
        <v>0</v>
      </c>
      <c r="BJ23">
        <f t="shared" si="28"/>
        <v>1</v>
      </c>
      <c r="BK23">
        <f t="shared" si="29"/>
        <v>1</v>
      </c>
    </row>
    <row r="24" spans="1:63" x14ac:dyDescent="0.2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131</v>
      </c>
      <c r="C24" t="str">
        <f>IF(A24&gt;0,INDEX(original!$A$2:$K$1500,B24,2),0)</f>
        <v>ALS1 15-25</v>
      </c>
      <c r="D24">
        <f>IF(A24&gt;0,INDEX(original!$A$2:$K$1500,B24,3),0)</f>
        <v>30.588999999999999</v>
      </c>
      <c r="E24">
        <f>IF(A24&gt;0,IF(INDEX(original!$P$2:$P$1500,B24+1)=2,INDEX(original!$A$2:$K$1500,B24+1,5),1000000),0)</f>
        <v>5215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4208</v>
      </c>
      <c r="G24">
        <f>IF(A24&gt;0,IF(INDEX(original!$P$2:$P$1500,B24+2)=3,INDEX(original!$A$2:$K$1500,B24+2,9),0.001),0)</f>
        <v>14.361000000000001</v>
      </c>
      <c r="H24">
        <f>IF(A24&gt;0,IF(INDEX(original!$P$2:$P$1500,B24+2)=4,INDEX(original!$A$2:$K$1500,B24+2,9),IF(INDEX(original!$P$2:$P$1500,B24+3)=4,INDEX(original!$A$2:$K$1500,B24+3,9),0.0001)),0)</f>
        <v>11.315</v>
      </c>
      <c r="I24">
        <f>IF(A24&gt;0,IF(INDEX(original!$P$2:$P$1500,B24+2)=3,INDEX(original!$A$2:$K$1500,B24+2,10),0.001),)</f>
        <v>6.9379999999999997</v>
      </c>
      <c r="J24">
        <f>IF(A24&gt;0,IF(INDEX(original!$P$2:$P$1500,B24+2)=4,INDEX(original!$A$2:$K$1500,B24+2,11),IF(INDEX(original!$P$2:$P$1500,B24+3)=4,INDEX(original!$A$2:$K$1500,B24+3,11),0.001)),0)</f>
        <v>-12.651999999999999</v>
      </c>
      <c r="O24">
        <f>_xlfn.STDEV.S(O2:O21)</f>
        <v>0.42395518631100632</v>
      </c>
      <c r="P24">
        <f>_xlfn.STDEV.S(P2:P21)</f>
        <v>0.12452027947286322</v>
      </c>
      <c r="R24">
        <f t="shared" si="3"/>
        <v>14.374424712368171</v>
      </c>
      <c r="S24">
        <f t="shared" si="2"/>
        <v>11.31225505485583</v>
      </c>
      <c r="U24" t="s">
        <v>222</v>
      </c>
      <c r="V24">
        <f>SUM(V2*Z2,V3*Z3,V4*Z4,V5*Z5,V6*Z6,V7*Z7,V8*Z8)</f>
        <v>9229.4395674349198</v>
      </c>
      <c r="W24">
        <f>SUM(V2*W2,V3*W3,V4*W4,V5*W5,V6*W6,V7*W7,V8*W8)</f>
        <v>1771.0630955901433</v>
      </c>
      <c r="X24">
        <f>SUM(X4*AA4,X5*AA5,X6*AA6,X7*AA7,X8*AA8)</f>
        <v>16859.524025127303</v>
      </c>
      <c r="Y24">
        <f>SUM(X2*Y2,X3*Y3,X4*Y4,X5*Y5,X6*Y6,X7*Y7,X8*Y8)</f>
        <v>-9117.4071566894454</v>
      </c>
      <c r="Z24">
        <f>SUM(X2*AA2,X3*AA3,X4*AA4,X5*AA5)</f>
        <v>5249.8605205431713</v>
      </c>
      <c r="AD24" t="str">
        <f t="shared" si="11"/>
        <v>ALS1 15-25</v>
      </c>
      <c r="AE24">
        <f t="shared" si="12"/>
        <v>14.842624326938376</v>
      </c>
      <c r="AF24">
        <f t="shared" si="13"/>
        <v>11.962642809720585</v>
      </c>
      <c r="AG24">
        <f t="shared" si="14"/>
        <v>6.3385431065636375</v>
      </c>
      <c r="AH24">
        <f t="shared" si="15"/>
        <v>-13.076038263185392</v>
      </c>
      <c r="AJ24">
        <f t="shared" si="51"/>
        <v>36</v>
      </c>
      <c r="AK24">
        <f t="shared" si="52"/>
        <v>11.997</v>
      </c>
      <c r="AL24">
        <f t="shared" si="53"/>
        <v>16.362539720339917</v>
      </c>
      <c r="AM24">
        <f>IF(M9&gt;0,INDEX($AE$2:$AH$1500,$M9,2))</f>
        <v>24.022973406186612</v>
      </c>
      <c r="AN24">
        <f t="shared" si="55"/>
        <v>5.1337714230323019</v>
      </c>
      <c r="AO24">
        <f t="shared" si="56"/>
        <v>-7.6268595459547557</v>
      </c>
      <c r="AW24" t="str">
        <f t="shared" si="16"/>
        <v>ALS1 15-25</v>
      </c>
      <c r="AX24">
        <f t="shared" si="17"/>
        <v>6.7839326325096788E-2</v>
      </c>
      <c r="AY24">
        <f t="shared" si="21"/>
        <v>0.67297058434157209</v>
      </c>
      <c r="AZ24">
        <f t="shared" si="18"/>
        <v>4.1951900510537099</v>
      </c>
      <c r="BA24">
        <f t="shared" si="19"/>
        <v>-24.776029470708156</v>
      </c>
      <c r="BE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F24">
        <f t="shared" ref="BF24:BH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G24">
        <f t="shared" si="58"/>
        <v>0</v>
      </c>
      <c r="BH24">
        <f t="shared" si="58"/>
        <v>0</v>
      </c>
      <c r="BJ24">
        <f t="shared" si="28"/>
        <v>1</v>
      </c>
      <c r="BK24">
        <f t="shared" si="29"/>
        <v>1</v>
      </c>
    </row>
    <row r="25" spans="1:63" x14ac:dyDescent="0.2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137</v>
      </c>
      <c r="C25" t="str">
        <f>IF(A25&gt;0,INDEX(original!$A$2:$K$1500,B25,2),0)</f>
        <v>BRS2</v>
      </c>
      <c r="D25">
        <f>IF(A25&gt;0,INDEX(original!$A$2:$K$1500,B25,3),0)</f>
        <v>12.004</v>
      </c>
      <c r="E25">
        <f>IF(A25&gt;0,IF(INDEX(original!$P$2:$P$1500,B25+1)=2,INDEX(original!$A$2:$K$1500,B25+1,5),1000000),0)</f>
        <v>5219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4207</v>
      </c>
      <c r="G25">
        <f>IF(A25&gt;0,IF(INDEX(original!$P$2:$P$1500,B25+2)=3,INDEX(original!$A$2:$K$1500,B25+2,9),0.001),0)</f>
        <v>16.437999999999999</v>
      </c>
      <c r="H25">
        <f>IF(A25&gt;0,IF(INDEX(original!$P$2:$P$1500,B25+2)=4,INDEX(original!$A$2:$K$1500,B25+2,9),IF(INDEX(original!$P$2:$P$1500,B25+3)=4,INDEX(original!$A$2:$K$1500,B25+3,9),0.0001)),0)</f>
        <v>23.939</v>
      </c>
      <c r="I25">
        <f>IF(A25&gt;0,IF(INDEX(original!$P$2:$P$1500,B25+2)=3,INDEX(original!$A$2:$K$1500,B25+2,10),0.001),)</f>
        <v>6.0229999999999997</v>
      </c>
      <c r="J25">
        <f>IF(A25&gt;0,IF(INDEX(original!$P$2:$P$1500,B25+2)=4,INDEX(original!$A$2:$K$1500,B25+2,11),IF(INDEX(original!$P$2:$P$1500,B25+3)=4,INDEX(original!$A$2:$K$1500,B25+3,11),0.001)),0)</f>
        <v>-7.39</v>
      </c>
      <c r="R25">
        <f t="shared" si="3"/>
        <v>16.440755939835217</v>
      </c>
      <c r="S25">
        <f t="shared" si="2"/>
        <v>23.93888145253942</v>
      </c>
      <c r="U25" t="s">
        <v>223</v>
      </c>
      <c r="V25">
        <f>SUM(V2^2*Z2,V3^2*Z3,V4^2*Z4,V5^2*Z5,V6^2*Z6,V7^2*Z7,V8^2*Z8)</f>
        <v>828370.98717413889</v>
      </c>
      <c r="W25">
        <f>SUM(V2^2*W2,V3^2*W3,V4^2*W4,V5^2*W5,V6^2*W6,V7^2*W7,V8^2*W8)</f>
        <v>153100.64088332278</v>
      </c>
      <c r="X25">
        <f>SUM(X4^2*AA4,X5^2*AA5,X6^2*AA6,X7^2*AA7,X8^2*AA8)</f>
        <v>2329129.9067781447</v>
      </c>
      <c r="Y25">
        <f>SUM(X2^2*Y2,X3^2*Y3,X4^2*Y4,X5^2*Y5,X6^2*Y6,X7^2*Y7,X8^2*Y8)</f>
        <v>-1172850.0824606428</v>
      </c>
      <c r="Z25">
        <f>SUM(X2^2*AA2,X3^2*AA3,X4^2*AA4,X5^2*AA5)</f>
        <v>317067.18167686567</v>
      </c>
      <c r="AD25" t="str">
        <f t="shared" si="11"/>
        <v>BRS2</v>
      </c>
      <c r="AE25">
        <f t="shared" si="12"/>
        <v>16.9333510494703</v>
      </c>
      <c r="AF25">
        <f t="shared" si="13"/>
        <v>24.693264200721607</v>
      </c>
      <c r="AG25">
        <f t="shared" si="14"/>
        <v>5.4582033555679299</v>
      </c>
      <c r="AH25">
        <f t="shared" si="15"/>
        <v>-7.7493725046300179</v>
      </c>
      <c r="AJ25">
        <f t="shared" si="51"/>
        <v>72</v>
      </c>
      <c r="AK25">
        <f t="shared" si="52"/>
        <v>11.996</v>
      </c>
      <c r="AL25">
        <f t="shared" si="53"/>
        <v>16.548745790677032</v>
      </c>
      <c r="AM25">
        <f t="shared" si="54"/>
        <v>24.715154720210244</v>
      </c>
      <c r="AN25">
        <f t="shared" si="55"/>
        <v>4.4018508290603</v>
      </c>
      <c r="AO25">
        <f t="shared" si="56"/>
        <v>-7.5442584851634491</v>
      </c>
      <c r="AR25" t="s">
        <v>202</v>
      </c>
      <c r="AS25" s="4" t="s">
        <v>224</v>
      </c>
      <c r="AW25" t="str">
        <f t="shared" si="16"/>
        <v>BRS2</v>
      </c>
      <c r="AX25">
        <f t="shared" si="17"/>
        <v>0.19910931399953438</v>
      </c>
      <c r="AY25">
        <f t="shared" si="21"/>
        <v>3.2325890697304498</v>
      </c>
      <c r="AZ25">
        <f t="shared" si="18"/>
        <v>3.3090016042517734</v>
      </c>
      <c r="BA25">
        <f t="shared" si="19"/>
        <v>-19.430508494808496</v>
      </c>
      <c r="BE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F25">
        <f t="shared" ref="BF25:BH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G25">
        <f t="shared" si="59"/>
        <v>0</v>
      </c>
      <c r="BH25">
        <f t="shared" si="59"/>
        <v>0</v>
      </c>
      <c r="BJ25">
        <f t="shared" si="28"/>
        <v>1</v>
      </c>
      <c r="BK25">
        <f t="shared" si="29"/>
        <v>1</v>
      </c>
    </row>
    <row r="26" spans="1:63" x14ac:dyDescent="0.2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143</v>
      </c>
      <c r="C26" t="str">
        <f>IF(A26&gt;0,INDEX(original!$A$2:$K$1500,B26,2),0)</f>
        <v>ALS2 15-25</v>
      </c>
      <c r="D26">
        <f>IF(A26&gt;0,INDEX(original!$A$2:$K$1500,B26,3),0)</f>
        <v>29.492000000000001</v>
      </c>
      <c r="E26">
        <f>IF(A26&gt;0,IF(INDEX(original!$P$2:$P$1500,B26+1)=2,INDEX(original!$A$2:$K$1500,B26+1,5),1000000),0)</f>
        <v>5215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4204</v>
      </c>
      <c r="G26">
        <f>IF(A26&gt;0,IF(INDEX(original!$P$2:$P$1500,B26+2)=3,INDEX(original!$A$2:$K$1500,B26+2,9),0.001),0)</f>
        <v>14.148</v>
      </c>
      <c r="H26">
        <f>IF(A26&gt;0,IF(INDEX(original!$P$2:$P$1500,B26+2)=4,INDEX(original!$A$2:$K$1500,B26+2,9),IF(INDEX(original!$P$2:$P$1500,B26+3)=4,INDEX(original!$A$2:$K$1500,B26+3,9),0.0001)),0)</f>
        <v>13.788</v>
      </c>
      <c r="I26">
        <f>IF(A26&gt;0,IF(INDEX(original!$P$2:$P$1500,B26+2)=3,INDEX(original!$A$2:$K$1500,B26+2,10),0.001),)</f>
        <v>6.8070000000000004</v>
      </c>
      <c r="J26">
        <f>IF(A26&gt;0,IF(INDEX(original!$P$2:$P$1500,B26+2)=4,INDEX(original!$A$2:$K$1500,B26+2,11),IF(INDEX(original!$P$2:$P$1500,B26+3)=4,INDEX(original!$A$2:$K$1500,B26+3,11),0.001)),0)</f>
        <v>-13.879</v>
      </c>
      <c r="R26">
        <f t="shared" si="3"/>
        <v>14.16122559923298</v>
      </c>
      <c r="S26">
        <f t="shared" si="2"/>
        <v>13.797770872978118</v>
      </c>
      <c r="AD26" t="str">
        <f t="shared" si="11"/>
        <v>ALS2 15-25</v>
      </c>
      <c r="AE26">
        <f t="shared" si="12"/>
        <v>14.626354064231803</v>
      </c>
      <c r="AF26">
        <f t="shared" si="13"/>
        <v>14.51226338145436</v>
      </c>
      <c r="AG26">
        <f t="shared" si="14"/>
        <v>6.2039401003327654</v>
      </c>
      <c r="AH26">
        <f t="shared" si="15"/>
        <v>-14.29037000245485</v>
      </c>
      <c r="AJ26">
        <f t="shared" si="51"/>
        <v>96</v>
      </c>
      <c r="AK26">
        <f t="shared" si="52"/>
        <v>12.002000000000001</v>
      </c>
      <c r="AL26">
        <f t="shared" si="53"/>
        <v>16.945992256934996</v>
      </c>
      <c r="AM26">
        <f t="shared" si="54"/>
        <v>25.252105909471613</v>
      </c>
      <c r="AN26">
        <f t="shared" si="55"/>
        <v>5.2524119684110211</v>
      </c>
      <c r="AO26">
        <f t="shared" si="56"/>
        <v>-7.8474589910309884</v>
      </c>
      <c r="AR26" t="s">
        <v>204</v>
      </c>
      <c r="AS26" t="s">
        <v>205</v>
      </c>
      <c r="AT26" t="s">
        <v>206</v>
      </c>
      <c r="AW26" t="str">
        <f t="shared" si="16"/>
        <v>ALS2 15-25</v>
      </c>
      <c r="AX26">
        <f t="shared" si="17"/>
        <v>6.9359332141873273E-2</v>
      </c>
      <c r="AY26">
        <f t="shared" si="21"/>
        <v>0.82814148606197779</v>
      </c>
      <c r="AZ26">
        <f t="shared" si="18"/>
        <v>4.0596927854903955</v>
      </c>
      <c r="BA26">
        <f t="shared" si="19"/>
        <v>-25.994659675454862</v>
      </c>
      <c r="BE26">
        <f>IF(COUNT($M$7:$M$21)=8,_xlfn.STDEV.S(INDEX(AX$2:AX$250,$M$7),INDEX(AX$2:AX$250,$M$8),INDEX(AX$2:AX$250,$M$9),INDEX(AX$2:AX$250,$M$10),INDEX(AX$2:AX$250,$M$11),INDEX(AX$2:AX$250,$M$12),INDEX(AX$2:AX$250,$M$13),INDEX(AX$2:AX$250,$M$14)),0)</f>
        <v>0</v>
      </c>
      <c r="BF26">
        <f t="shared" ref="BF26:BH26" si="60">IF(COUNT($M$7:$M$21)=8,_xlfn.STDEV.S(INDEX(AY$2:AY$250,$M$7),INDEX(AY$2:AY$250,$M$8),INDEX(AY$2:AY$250,$M$9),INDEX(AY$2:AY$250,$M$10),INDEX(AY$2:AY$250,$M$11),INDEX(AY$2:AY$250,$M$12),INDEX(AY$2:AY$250,$M$13),INDEX(AY$2:AY$250,$M$14)),0)</f>
        <v>0</v>
      </c>
      <c r="BG26">
        <f t="shared" si="60"/>
        <v>0</v>
      </c>
      <c r="BH26">
        <f t="shared" si="60"/>
        <v>0</v>
      </c>
      <c r="BJ26">
        <f t="shared" si="28"/>
        <v>1</v>
      </c>
      <c r="BK26">
        <f t="shared" si="29"/>
        <v>1</v>
      </c>
    </row>
    <row r="27" spans="1:63" x14ac:dyDescent="0.2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149</v>
      </c>
      <c r="C27" t="str">
        <f>IF(A27&gt;0,INDEX(original!$A$2:$K$1500,B27,2),0)</f>
        <v>ALS2 25+</v>
      </c>
      <c r="D27">
        <f>IF(A27&gt;0,INDEX(original!$A$2:$K$1500,B27,3),0)</f>
        <v>29.841000000000001</v>
      </c>
      <c r="E27">
        <f>IF(A27&gt;0,IF(INDEX(original!$P$2:$P$1500,B27+1)=2,INDEX(original!$A$2:$K$1500,B27+1,5),1000000),0)</f>
        <v>5215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4203</v>
      </c>
      <c r="G27">
        <f>IF(A27&gt;0,IF(INDEX(original!$P$2:$P$1500,B27+2)=3,INDEX(original!$A$2:$K$1500,B27+2,9),0.001),0)</f>
        <v>16.603999999999999</v>
      </c>
      <c r="H27">
        <f>IF(A27&gt;0,IF(INDEX(original!$P$2:$P$1500,B27+2)=4,INDEX(original!$A$2:$K$1500,B27+2,9),IF(INDEX(original!$P$2:$P$1500,B27+3)=4,INDEX(original!$A$2:$K$1500,B27+3,9),0.0001)),0)</f>
        <v>17.341999999999999</v>
      </c>
      <c r="I27">
        <f>IF(A27&gt;0,IF(INDEX(original!$P$2:$P$1500,B27+2)=3,INDEX(original!$A$2:$K$1500,B27+2,10),0.001),)</f>
        <v>7.27</v>
      </c>
      <c r="J27">
        <f>IF(A27&gt;0,IF(INDEX(original!$P$2:$P$1500,B27+2)=4,INDEX(original!$A$2:$K$1500,B27+2,11),IF(INDEX(original!$P$2:$P$1500,B27+3)=4,INDEX(original!$A$2:$K$1500,B27+3,11),0.001)),0)</f>
        <v>-13.63</v>
      </c>
      <c r="L27" s="2" t="s">
        <v>129</v>
      </c>
      <c r="O27" t="s">
        <v>118</v>
      </c>
      <c r="P27" t="s">
        <v>119</v>
      </c>
      <c r="R27">
        <f t="shared" si="3"/>
        <v>16.619521476510066</v>
      </c>
      <c r="S27">
        <f t="shared" si="2"/>
        <v>17.3584184411928</v>
      </c>
      <c r="U27" t="s">
        <v>225</v>
      </c>
      <c r="V27">
        <f>V21-(V19)^2/V18</f>
        <v>11609.003782342465</v>
      </c>
      <c r="W27">
        <f t="shared" ref="W27:Y27" si="61">W21-(W19)^2/W18</f>
        <v>11609.003782342465</v>
      </c>
      <c r="X27">
        <f>X21-(X19)^2/X18</f>
        <v>14120.980269944077</v>
      </c>
      <c r="Y27">
        <f t="shared" si="61"/>
        <v>23788.569467004163</v>
      </c>
      <c r="Z27">
        <f>Z21-(Z19)^2/Z18</f>
        <v>2738.575296572154</v>
      </c>
      <c r="AD27" t="str">
        <f t="shared" si="11"/>
        <v>ALS2 25+</v>
      </c>
      <c r="AE27">
        <f t="shared" si="12"/>
        <v>17.113777801429045</v>
      </c>
      <c r="AF27">
        <f t="shared" si="13"/>
        <v>18.124337037913865</v>
      </c>
      <c r="AG27">
        <f t="shared" si="14"/>
        <v>6.7081797658664195</v>
      </c>
      <c r="AH27">
        <f t="shared" si="15"/>
        <v>-14.023169864249311</v>
      </c>
      <c r="AJ27" t="b">
        <f t="shared" si="51"/>
        <v>0</v>
      </c>
      <c r="AK27" t="b">
        <f t="shared" si="52"/>
        <v>0</v>
      </c>
      <c r="AL27" t="b">
        <f t="shared" si="53"/>
        <v>0</v>
      </c>
      <c r="AM27" t="b">
        <f t="shared" si="54"/>
        <v>0</v>
      </c>
      <c r="AN27" t="b">
        <f t="shared" si="55"/>
        <v>0</v>
      </c>
      <c r="AO27" t="b">
        <f t="shared" si="56"/>
        <v>0</v>
      </c>
      <c r="AR27" t="str">
        <f>AJ4</f>
        <v>Acetanilide</v>
      </c>
      <c r="AS27">
        <f>IF(AK4&gt;0,(AO4-AP4*AO$17-AO$18)^2,0)</f>
        <v>0</v>
      </c>
      <c r="AT27">
        <f>IF(AK4&gt;0,(AO4-AVERAGE($AO$4,$AO$7:$AO$9,$AO$11:$AO$12))^2,0)</f>
        <v>0</v>
      </c>
      <c r="AW27" t="str">
        <f t="shared" si="16"/>
        <v>ALS2 25+</v>
      </c>
      <c r="AX27">
        <f t="shared" si="17"/>
        <v>8.0360598680537146E-2</v>
      </c>
      <c r="AY27">
        <f t="shared" si="21"/>
        <v>1.0052688494870856</v>
      </c>
      <c r="AZ27">
        <f t="shared" si="18"/>
        <v>4.5672824581250637</v>
      </c>
      <c r="BA27">
        <f t="shared" si="19"/>
        <v>-25.726513707924067</v>
      </c>
      <c r="BE27">
        <f>IF(COUNT($M$7:$M$21)=7,_xlfn.STDEV.S(INDEX(AX$2:AX$250,$M$7),INDEX(AX$2:AX$250,$M$8),INDEX(AX$2:AX$250,$M$9),INDEX(AX$2:AX$250,$M$10),INDEX(AX$2:AX$250,$M$11),INDEX(AX$2:AX$250,$M$12),INDEX(AX$2:AX$250,$M$13)),0)</f>
        <v>0</v>
      </c>
      <c r="BF27">
        <f t="shared" ref="BF27:BH27" si="62">IF(COUNT($M$7:$M$21)=7,_xlfn.STDEV.S(INDEX(AY$2:AY$250,$M$7),INDEX(AY$2:AY$250,$M$8),INDEX(AY$2:AY$250,$M$9),INDEX(AY$2:AY$250,$M$10),INDEX(AY$2:AY$250,$M$11),INDEX(AY$2:AY$250,$M$12),INDEX(AY$2:AY$250,$M$13)),0)</f>
        <v>0</v>
      </c>
      <c r="BG27">
        <f t="shared" si="62"/>
        <v>0</v>
      </c>
      <c r="BH27">
        <f t="shared" si="62"/>
        <v>0</v>
      </c>
      <c r="BJ27">
        <f t="shared" si="28"/>
        <v>1</v>
      </c>
      <c r="BK27">
        <f t="shared" si="29"/>
        <v>1</v>
      </c>
    </row>
    <row r="28" spans="1:63" x14ac:dyDescent="0.2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155</v>
      </c>
      <c r="C28" t="str">
        <f>IF(A28&gt;0,INDEX(original!$A$2:$K$1500,B28,2),0)</f>
        <v>ALS3 15-25</v>
      </c>
      <c r="D28">
        <f>IF(A28&gt;0,INDEX(original!$A$2:$K$1500,B28,3),0)</f>
        <v>30.346</v>
      </c>
      <c r="E28">
        <f>IF(A28&gt;0,IF(INDEX(original!$P$2:$P$1500,B28+1)=2,INDEX(original!$A$2:$K$1500,B28+1,5),1000000),0)</f>
        <v>5216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4204</v>
      </c>
      <c r="G28">
        <f>IF(A28&gt;0,IF(INDEX(original!$P$2:$P$1500,B28+2)=3,INDEX(original!$A$2:$K$1500,B28+2,9),0.001),0)</f>
        <v>13.801</v>
      </c>
      <c r="H28">
        <f>IF(A28&gt;0,IF(INDEX(original!$P$2:$P$1500,B28+2)=4,INDEX(original!$A$2:$K$1500,B28+2,9),IF(INDEX(original!$P$2:$P$1500,B28+3)=4,INDEX(original!$A$2:$K$1500,B28+3,9),0.0001)),0)</f>
        <v>12.026</v>
      </c>
      <c r="I28">
        <f>IF(A28&gt;0,IF(INDEX(original!$P$2:$P$1500,B28+2)=3,INDEX(original!$A$2:$K$1500,B28+2,10),0.001),)</f>
        <v>7.6</v>
      </c>
      <c r="J28">
        <f>IF(A28&gt;0,IF(INDEX(original!$P$2:$P$1500,B28+2)=4,INDEX(original!$A$2:$K$1500,B28+2,11),IF(INDEX(original!$P$2:$P$1500,B28+3)=4,INDEX(original!$A$2:$K$1500,B28+3,11),0.001)),0)</f>
        <v>-13.034000000000001</v>
      </c>
      <c r="L28" t="s">
        <v>99</v>
      </c>
      <c r="O28">
        <f>AVERAGE(E2:INDEX(E2:E250,$P$33))</f>
        <v>5219.875</v>
      </c>
      <c r="P28">
        <f>AVERAGE(F2:INDEX(F2:F250,$P$33))</f>
        <v>4206.979166666667</v>
      </c>
      <c r="R28">
        <f t="shared" si="3"/>
        <v>13.811252851802148</v>
      </c>
      <c r="S28">
        <f t="shared" si="2"/>
        <v>12.034522230811927</v>
      </c>
      <c r="U28" t="s">
        <v>222</v>
      </c>
      <c r="V28">
        <f>V24-(V19*V20)/V18</f>
        <v>118.52502768183876</v>
      </c>
      <c r="W28">
        <f t="shared" ref="W28:Y28" si="63">W24-(W19*W20)/W18</f>
        <v>-128.25876035920373</v>
      </c>
      <c r="X28">
        <f>X24-(X19*X20)/X18</f>
        <v>137.99744919971272</v>
      </c>
      <c r="Y28">
        <f t="shared" si="63"/>
        <v>-130.48701717625227</v>
      </c>
      <c r="Z28">
        <f>Z24-(Z19*Z20)/Z18</f>
        <v>62.376032211471284</v>
      </c>
      <c r="AD28" t="str">
        <f t="shared" si="11"/>
        <v>ALS3 15-25</v>
      </c>
      <c r="AE28">
        <f t="shared" si="12"/>
        <v>14.271110865296047</v>
      </c>
      <c r="AF28">
        <f t="shared" si="13"/>
        <v>12.706085267380056</v>
      </c>
      <c r="AG28">
        <f t="shared" si="14"/>
        <v>6.9910147705443588</v>
      </c>
      <c r="AH28">
        <f t="shared" si="15"/>
        <v>-13.454360070149855</v>
      </c>
      <c r="AJ28" t="b">
        <f t="shared" si="51"/>
        <v>0</v>
      </c>
      <c r="AK28" t="b">
        <f t="shared" si="52"/>
        <v>0</v>
      </c>
      <c r="AL28" t="b">
        <f t="shared" si="53"/>
        <v>0</v>
      </c>
      <c r="AM28" t="b">
        <f t="shared" si="54"/>
        <v>0</v>
      </c>
      <c r="AN28" t="b">
        <f t="shared" si="55"/>
        <v>0</v>
      </c>
      <c r="AO28" t="b">
        <f t="shared" si="56"/>
        <v>0</v>
      </c>
      <c r="AR28" t="str">
        <f t="shared" ref="AR28:AR36" si="64">AJ5</f>
        <v>Sulfanilamide</v>
      </c>
      <c r="AS28">
        <f t="shared" ref="AS28:AS36" si="65">IF(AK5&gt;0,(AO5-AP5*AO$17-AO$18)^2,0)</f>
        <v>0.15315789368092375</v>
      </c>
      <c r="AT28">
        <f t="shared" ref="AT28:AT36" si="66">IF(AK5&gt;0,(AO5-AVERAGE($AO$4,$AO$7:$AO$9,$AO$11:$AO$12))^2,0)</f>
        <v>94.11831005086546</v>
      </c>
      <c r="AW28" t="str">
        <f t="shared" si="16"/>
        <v>ALS3 15-25</v>
      </c>
      <c r="AX28">
        <f t="shared" si="17"/>
        <v>6.571899559326938E-2</v>
      </c>
      <c r="AY28">
        <f t="shared" si="21"/>
        <v>0.71542138631231111</v>
      </c>
      <c r="AZ28">
        <f t="shared" si="18"/>
        <v>4.8519965281341371</v>
      </c>
      <c r="BA28">
        <f t="shared" si="19"/>
        <v>-25.155690453100501</v>
      </c>
      <c r="BE28">
        <f>IF(COUNT($M$7:$M$21)=6,_xlfn.STDEV.S(INDEX(AX$2:AX$250,$M$7),INDEX(AX$2:AX$250,$M$8),INDEX(AX$2:AX$250,$M$9),INDEX(AX$2:AX$250,$M$10),INDEX(AX$2:AX$250,$M$11),INDEX(AX$2:AX$250,$M$12)),0)</f>
        <v>0</v>
      </c>
      <c r="BF28">
        <f t="shared" ref="BF28:BH28" si="67">IF(COUNT($M$7:$M$21)=6,_xlfn.STDEV.S(INDEX(AY$2:AY$250,$M$7),INDEX(AY$2:AY$250,$M$8),INDEX(AY$2:AY$250,$M$9),INDEX(AY$2:AY$250,$M$10),INDEX(AY$2:AY$250,$M$11),INDEX(AY$2:AY$250,$M$12)),0)</f>
        <v>0</v>
      </c>
      <c r="BG28">
        <f t="shared" si="67"/>
        <v>0</v>
      </c>
      <c r="BH28">
        <f t="shared" si="67"/>
        <v>0</v>
      </c>
      <c r="BJ28">
        <f t="shared" si="28"/>
        <v>1</v>
      </c>
      <c r="BK28">
        <f t="shared" si="29"/>
        <v>1</v>
      </c>
    </row>
    <row r="29" spans="1:63" x14ac:dyDescent="0.2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161</v>
      </c>
      <c r="C29" t="str">
        <f>IF(A29&gt;0,INDEX(original!$A$2:$K$1500,B29,2),0)</f>
        <v>ALS3 25+</v>
      </c>
      <c r="D29">
        <f>IF(A29&gt;0,INDEX(original!$A$2:$K$1500,B29,3),0)</f>
        <v>30.141999999999999</v>
      </c>
      <c r="E29">
        <f>IF(A29&gt;0,IF(INDEX(original!$P$2:$P$1500,B29+1)=2,INDEX(original!$A$2:$K$1500,B29+1,5),1000000),0)</f>
        <v>5215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4206</v>
      </c>
      <c r="G29">
        <f>IF(A29&gt;0,IF(INDEX(original!$P$2:$P$1500,B29+2)=3,INDEX(original!$A$2:$K$1500,B29+2,9),0.001),0)</f>
        <v>13.728999999999999</v>
      </c>
      <c r="H29">
        <f>IF(A29&gt;0,IF(INDEX(original!$P$2:$P$1500,B29+2)=4,INDEX(original!$A$2:$K$1500,B29+2,9),IF(INDEX(original!$P$2:$P$1500,B29+3)=4,INDEX(original!$A$2:$K$1500,B29+3,9),0.0001)),0)</f>
        <v>9.8019999999999996</v>
      </c>
      <c r="I29">
        <f>IF(A29&gt;0,IF(INDEX(original!$P$2:$P$1500,B29+2)=3,INDEX(original!$A$2:$K$1500,B29+2,10),0.001),)</f>
        <v>6.98</v>
      </c>
      <c r="J29">
        <f>IF(A29&gt;0,IF(INDEX(original!$P$2:$P$1500,B29+2)=4,INDEX(original!$A$2:$K$1500,B29+2,11),IF(INDEX(original!$P$2:$P$1500,B29+3)=4,INDEX(original!$A$2:$K$1500,B29+3,11),0.001)),0)</f>
        <v>-12.098000000000001</v>
      </c>
      <c r="L29" t="s">
        <v>130</v>
      </c>
      <c r="M29">
        <v>90</v>
      </c>
      <c r="O29">
        <f>_xlfn.STDEV.S(E2:INDEX(E2:E250,$P$33))</f>
        <v>5.9120750654019414</v>
      </c>
      <c r="P29">
        <f>_xlfn.STDEV.S(F2:INDEX(F2:F250,$P$33))</f>
        <v>5.1010404855370162</v>
      </c>
      <c r="R29">
        <f t="shared" si="3"/>
        <v>13.741833916586769</v>
      </c>
      <c r="S29">
        <f t="shared" si="2"/>
        <v>9.8042819285940723</v>
      </c>
      <c r="U29" t="s">
        <v>226</v>
      </c>
      <c r="V29">
        <f>V22-(V21*V19)/V18</f>
        <v>1561074.5655462635</v>
      </c>
      <c r="W29">
        <f t="shared" ref="W29:Y29" si="68">W22-(W21*W19)/W18</f>
        <v>1561074.5655462635</v>
      </c>
      <c r="X29">
        <f>X22-(X21*X19)/X18</f>
        <v>2940042.9051559456</v>
      </c>
      <c r="Y29">
        <f t="shared" si="68"/>
        <v>4414941.9571649618</v>
      </c>
      <c r="Z29">
        <f>Z22-(Z21*Z19)/Z18</f>
        <v>268780.24163094681</v>
      </c>
      <c r="AD29" t="str">
        <f t="shared" si="11"/>
        <v>ALS3 25+</v>
      </c>
      <c r="AE29">
        <f t="shared" si="12"/>
        <v>14.200612515947002</v>
      </c>
      <c r="AF29">
        <f t="shared" si="13"/>
        <v>10.403413802041065</v>
      </c>
      <c r="AG29">
        <f t="shared" si="14"/>
        <v>6.3698378420719148</v>
      </c>
      <c r="AH29">
        <f t="shared" si="15"/>
        <v>-12.529709574799268</v>
      </c>
      <c r="AJ29" t="b">
        <f t="shared" si="51"/>
        <v>0</v>
      </c>
      <c r="AK29" t="b">
        <f t="shared" si="52"/>
        <v>0</v>
      </c>
      <c r="AL29" t="b">
        <f t="shared" si="53"/>
        <v>0</v>
      </c>
      <c r="AM29" t="b">
        <f t="shared" si="54"/>
        <v>0</v>
      </c>
      <c r="AN29" t="b">
        <f t="shared" si="55"/>
        <v>0</v>
      </c>
      <c r="AO29" t="b">
        <f t="shared" si="56"/>
        <v>0</v>
      </c>
      <c r="AR29" t="str">
        <f t="shared" si="64"/>
        <v>Glycine</v>
      </c>
      <c r="AS29">
        <f t="shared" si="65"/>
        <v>0.38352208928593562</v>
      </c>
      <c r="AT29">
        <f t="shared" si="66"/>
        <v>141.30637487345041</v>
      </c>
      <c r="AW29" t="str">
        <f t="shared" si="16"/>
        <v>ALS3 25+</v>
      </c>
      <c r="AX29">
        <f t="shared" si="17"/>
        <v>6.5838711632072139E-2</v>
      </c>
      <c r="AY29">
        <f t="shared" si="21"/>
        <v>0.60240502175529309</v>
      </c>
      <c r="AZ29">
        <f t="shared" si="18"/>
        <v>4.226692698777831</v>
      </c>
      <c r="BA29">
        <f t="shared" si="19"/>
        <v>-24.227766899734341</v>
      </c>
      <c r="BE29">
        <f>IF(COUNT($M$7:$M$21)=5,_xlfn.STDEV.S(INDEX(AX$2:AX$250,$M$7),INDEX(AX$2:AX$250,$M$8),INDEX(AX$2:AX$250,$M$9),INDEX(AX$2:AX$250,$M$10),INDEX(AX$2:AX$250,$M$11)),0)</f>
        <v>4.9119260074141731E-3</v>
      </c>
      <c r="BF29">
        <f t="shared" ref="BF29:BH29" si="69">IF(COUNT($M$7:$M$21)=5,_xlfn.STDEV.S(INDEX(AY$2:AY$250,$M$7),INDEX(AY$2:AY$250,$M$8),INDEX(AY$2:AY$250,$M$9),INDEX(AY$2:AY$250,$M$10),INDEX(AY$2:AY$250,$M$11)),0)</f>
        <v>6.4581876158213009E-2</v>
      </c>
      <c r="BG29">
        <f t="shared" si="69"/>
        <v>0.43086008117694263</v>
      </c>
      <c r="BH29">
        <f t="shared" si="69"/>
        <v>0.124069491771368</v>
      </c>
      <c r="BJ29">
        <f t="shared" si="28"/>
        <v>1</v>
      </c>
      <c r="BK29">
        <f t="shared" si="29"/>
        <v>1</v>
      </c>
    </row>
    <row r="30" spans="1:63" x14ac:dyDescent="0.2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167</v>
      </c>
      <c r="C30" t="str">
        <f>IF(A30&gt;0,INDEX(original!$A$2:$K$1500,B30,2),0)</f>
        <v>ALS4 15-25</v>
      </c>
      <c r="D30">
        <f>IF(A30&gt;0,INDEX(original!$A$2:$K$1500,B30,3),0)</f>
        <v>30.094999999999999</v>
      </c>
      <c r="E30">
        <f>IF(A30&gt;0,IF(INDEX(original!$P$2:$P$1500,B30+1)=2,INDEX(original!$A$2:$K$1500,B30+1,5),1000000),0)</f>
        <v>5217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4206</v>
      </c>
      <c r="G30">
        <f>IF(A30&gt;0,IF(INDEX(original!$P$2:$P$1500,B30+2)=3,INDEX(original!$A$2:$K$1500,B30+2,9),0.001),0)</f>
        <v>13.644</v>
      </c>
      <c r="H30">
        <f>IF(A30&gt;0,IF(INDEX(original!$P$2:$P$1500,B30+2)=4,INDEX(original!$A$2:$K$1500,B30+2,9),IF(INDEX(original!$P$2:$P$1500,B30+3)=4,INDEX(original!$A$2:$K$1500,B30+3,9),0.0001)),0)</f>
        <v>14.135</v>
      </c>
      <c r="I30">
        <f>IF(A30&gt;0,IF(INDEX(original!$P$2:$P$1500,B30+2)=3,INDEX(original!$A$2:$K$1500,B30+2,10),0.001),)</f>
        <v>7.4740000000000002</v>
      </c>
      <c r="J30">
        <f>IF(A30&gt;0,IF(INDEX(original!$P$2:$P$1500,B30+2)=4,INDEX(original!$A$2:$K$1500,B30+2,11),IF(INDEX(original!$P$2:$P$1500,B30+3)=4,INDEX(original!$A$2:$K$1500,B30+3,11),0.001)),0)</f>
        <v>-13.619</v>
      </c>
      <c r="L30" t="s">
        <v>131</v>
      </c>
      <c r="M30">
        <v>91</v>
      </c>
      <c r="O30">
        <f>O29/O28*100</f>
        <v>0.11326085520059276</v>
      </c>
      <c r="P30">
        <f>P29/P28*100</f>
        <v>0.12125185990827581</v>
      </c>
      <c r="R30">
        <f t="shared" si="3"/>
        <v>13.651518976423231</v>
      </c>
      <c r="S30">
        <f t="shared" si="2"/>
        <v>14.138290661158663</v>
      </c>
      <c r="U30" t="s">
        <v>223</v>
      </c>
      <c r="V30">
        <f>V25-(V21*V20)/V18</f>
        <v>14323.634501235327</v>
      </c>
      <c r="W30">
        <f t="shared" ref="W30:Y30" si="70">W25-(W21*W20)/W18</f>
        <v>-16601.085761481692</v>
      </c>
      <c r="X30">
        <f>X25-(X21*X20)/X18</f>
        <v>26931.899634530768</v>
      </c>
      <c r="Y30">
        <f t="shared" si="70"/>
        <v>-24455.441658576485</v>
      </c>
      <c r="Z30">
        <f>Z25-(Z21*Z20)/Z18</f>
        <v>5587.6181017401395</v>
      </c>
      <c r="AD30" t="str">
        <f t="shared" si="11"/>
        <v>ALS4 15-25</v>
      </c>
      <c r="AE30">
        <f t="shared" si="12"/>
        <v>14.108876337792305</v>
      </c>
      <c r="AF30">
        <f t="shared" si="13"/>
        <v>14.859688333279587</v>
      </c>
      <c r="AG30">
        <f t="shared" si="14"/>
        <v>6.8623058459154027</v>
      </c>
      <c r="AH30">
        <f t="shared" si="15"/>
        <v>-14.028632100404579</v>
      </c>
      <c r="AJ30" t="b">
        <f t="shared" si="51"/>
        <v>0</v>
      </c>
      <c r="AK30" t="b">
        <f t="shared" si="52"/>
        <v>0</v>
      </c>
      <c r="AL30" t="b">
        <f t="shared" si="53"/>
        <v>0</v>
      </c>
      <c r="AM30" t="b">
        <f t="shared" si="54"/>
        <v>0</v>
      </c>
      <c r="AN30" t="b">
        <f t="shared" si="55"/>
        <v>0</v>
      </c>
      <c r="AO30" t="b">
        <f t="shared" si="56"/>
        <v>0</v>
      </c>
      <c r="AR30" t="str">
        <f t="shared" si="64"/>
        <v>Methionine</v>
      </c>
      <c r="AS30">
        <f t="shared" si="65"/>
        <v>9.6532189046613787E-3</v>
      </c>
      <c r="AT30">
        <f t="shared" si="66"/>
        <v>9.2184960614102689</v>
      </c>
      <c r="AW30" t="str">
        <f t="shared" si="16"/>
        <v>ALS4 15-25</v>
      </c>
      <c r="AX30">
        <f t="shared" si="17"/>
        <v>6.5510690034722791E-2</v>
      </c>
      <c r="AY30">
        <f t="shared" si="21"/>
        <v>0.83072996979073443</v>
      </c>
      <c r="AZ30">
        <f t="shared" si="18"/>
        <v>4.7224325025661962</v>
      </c>
      <c r="BA30">
        <f t="shared" si="19"/>
        <v>-25.731995279185863</v>
      </c>
      <c r="BE30">
        <f>IF(COUNT($M$7:$M$21)=4,_xlfn.STDEV.S(INDEX(AX$2:AX$250,$M$7),INDEX(AX$2:AX$250,$M$8),INDEX(AX$2:AX$250,$M$9),INDEX(AX$2:AX$250,$M$10)),0)</f>
        <v>0</v>
      </c>
      <c r="BF30">
        <f t="shared" ref="BF30:BH30" si="71">IF(COUNT($M$7:$M$21)=4,_xlfn.STDEV.S(INDEX(AY$2:AY$250,$M$7),INDEX(AY$2:AY$250,$M$8),INDEX(AY$2:AY$250,$M$9),INDEX(AY$2:AY$250,$M$10)),0)</f>
        <v>0</v>
      </c>
      <c r="BG30">
        <f t="shared" si="71"/>
        <v>0</v>
      </c>
      <c r="BH30">
        <f t="shared" si="71"/>
        <v>0</v>
      </c>
      <c r="BJ30">
        <f t="shared" si="28"/>
        <v>1</v>
      </c>
      <c r="BK30">
        <f t="shared" si="29"/>
        <v>1</v>
      </c>
    </row>
    <row r="31" spans="1:63" x14ac:dyDescent="0.2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173</v>
      </c>
      <c r="C31" t="str">
        <f>IF(A31&gt;0,INDEX(original!$A$2:$K$1500,B31,2),0)</f>
        <v>ALS4 25+</v>
      </c>
      <c r="D31">
        <f>IF(A31&gt;0,INDEX(original!$A$2:$K$1500,B31,3),0)</f>
        <v>30.091999999999999</v>
      </c>
      <c r="E31">
        <f>IF(A31&gt;0,IF(INDEX(original!$P$2:$P$1500,B31+1)=2,INDEX(original!$A$2:$K$1500,B31+1,5),1000000),0)</f>
        <v>5216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4209</v>
      </c>
      <c r="G31">
        <f>IF(A31&gt;0,IF(INDEX(original!$P$2:$P$1500,B31+2)=3,INDEX(original!$A$2:$K$1500,B31+2,9),0.001),0)</f>
        <v>15.63</v>
      </c>
      <c r="H31">
        <f>IF(A31&gt;0,IF(INDEX(original!$P$2:$P$1500,B31+2)=4,INDEX(original!$A$2:$K$1500,B31+2,9),IF(INDEX(original!$P$2:$P$1500,B31+3)=4,INDEX(original!$A$2:$K$1500,B31+3,9),0.0001)),0)</f>
        <v>15.063000000000001</v>
      </c>
      <c r="I31">
        <f>IF(A31&gt;0,IF(INDEX(original!$P$2:$P$1500,B31+2)=3,INDEX(original!$A$2:$K$1500,B31+2,10),0.001),)</f>
        <v>7.2759999999999998</v>
      </c>
      <c r="J31">
        <f>IF(A31&gt;0,IF(INDEX(original!$P$2:$P$1500,B31+2)=4,INDEX(original!$A$2:$K$1500,B31+2,11),IF(INDEX(original!$P$2:$P$1500,B31+3)=4,INDEX(original!$A$2:$K$1500,B31+3,11),0.001)),0)</f>
        <v>-13.247</v>
      </c>
      <c r="L31" t="s">
        <v>132</v>
      </c>
      <c r="M31">
        <v>92</v>
      </c>
      <c r="R31">
        <f t="shared" si="3"/>
        <v>15.64161162768405</v>
      </c>
      <c r="S31">
        <f t="shared" si="2"/>
        <v>15.055767922903303</v>
      </c>
      <c r="U31" t="s">
        <v>227</v>
      </c>
      <c r="V31">
        <f>V23-(V21*V21)/V18</f>
        <v>221614437.75719783</v>
      </c>
      <c r="W31">
        <f>W23-(W21*W21)/W18</f>
        <v>221614437.75719783</v>
      </c>
      <c r="X31">
        <f>X23-(X21*X21)/X18</f>
        <v>642982201.76254201</v>
      </c>
      <c r="Y31">
        <f t="shared" ref="Y31" si="72">Y23-(Y21*Y21)/Y18</f>
        <v>917797421.08490622</v>
      </c>
      <c r="Z31">
        <f>Z23-(Z21*Z21)/Z18</f>
        <v>27405175.927383639</v>
      </c>
      <c r="AD31" t="str">
        <f t="shared" si="11"/>
        <v>ALS4 25+</v>
      </c>
      <c r="AE31">
        <f t="shared" si="12"/>
        <v>16.125913865936727</v>
      </c>
      <c r="AF31">
        <f t="shared" si="13"/>
        <v>15.793618792249102</v>
      </c>
      <c r="AG31">
        <f t="shared" si="14"/>
        <v>6.6978545962838858</v>
      </c>
      <c r="AH31">
        <f t="shared" si="15"/>
        <v>-13.651946801659621</v>
      </c>
      <c r="AJ31" t="b">
        <f t="shared" si="51"/>
        <v>0</v>
      </c>
      <c r="AK31" t="b">
        <f t="shared" si="52"/>
        <v>0</v>
      </c>
      <c r="AL31" t="b">
        <f t="shared" si="53"/>
        <v>0</v>
      </c>
      <c r="AM31" t="b">
        <f t="shared" si="54"/>
        <v>0</v>
      </c>
      <c r="AN31" t="b">
        <f t="shared" si="55"/>
        <v>0</v>
      </c>
      <c r="AO31" t="b">
        <f t="shared" si="56"/>
        <v>0</v>
      </c>
      <c r="AR31" t="str">
        <f t="shared" si="64"/>
        <v>USGS-40</v>
      </c>
      <c r="AS31">
        <f t="shared" si="65"/>
        <v>2.1975137924161801E-2</v>
      </c>
      <c r="AT31">
        <f t="shared" si="66"/>
        <v>9.8388035493777792</v>
      </c>
      <c r="AW31" t="str">
        <f t="shared" si="16"/>
        <v>ALS4 25+</v>
      </c>
      <c r="AX31">
        <f t="shared" si="17"/>
        <v>7.5025379481462345E-2</v>
      </c>
      <c r="AY31">
        <f t="shared" si="21"/>
        <v>0.8784883374339425</v>
      </c>
      <c r="AZ31">
        <f t="shared" si="18"/>
        <v>4.5568886914174227</v>
      </c>
      <c r="BA31">
        <f t="shared" si="19"/>
        <v>-25.353976597889762</v>
      </c>
      <c r="BE31">
        <f>IF(COUNT($M$7:$M$21)=3,_xlfn.STDEV.S(INDEX(AX$2:AX$250,$M$7),INDEX(AX$2:AX$250,$M$8),INDEX(AX$2:AX$250,$M$9)),0)</f>
        <v>0</v>
      </c>
      <c r="BF31">
        <f t="shared" ref="BF31:BH31" si="73">IF(COUNT($M$7:$M$21)=3,_xlfn.STDEV.S(INDEX(AY$2:AY$250,$M$7),INDEX(AY$2:AY$250,$M$8),INDEX(AY$2:AY$250,$M$9)),0)</f>
        <v>0</v>
      </c>
      <c r="BG31">
        <f t="shared" si="73"/>
        <v>0</v>
      </c>
      <c r="BH31">
        <f t="shared" si="73"/>
        <v>0</v>
      </c>
      <c r="BJ31">
        <f t="shared" si="28"/>
        <v>1</v>
      </c>
      <c r="BK31">
        <f t="shared" si="29"/>
        <v>1</v>
      </c>
    </row>
    <row r="32" spans="1:63" x14ac:dyDescent="0.2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179</v>
      </c>
      <c r="C32" t="str">
        <f>IF(A32&gt;0,INDEX(original!$A$2:$K$1500,B32,2),0)</f>
        <v>HEU5 15-25</v>
      </c>
      <c r="D32">
        <f>IF(A32&gt;0,INDEX(original!$A$2:$K$1500,B32,3),0)</f>
        <v>29.986000000000001</v>
      </c>
      <c r="E32">
        <f>IF(A32&gt;0,IF(INDEX(original!$P$2:$P$1500,B32+1)=2,INDEX(original!$A$2:$K$1500,B32+1,5),1000000),0)</f>
        <v>5220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4208</v>
      </c>
      <c r="G32">
        <f>IF(A32&gt;0,IF(INDEX(original!$P$2:$P$1500,B32+2)=3,INDEX(original!$A$2:$K$1500,B32+2,9),0.001),0)</f>
        <v>16.411000000000001</v>
      </c>
      <c r="H32">
        <f>IF(A32&gt;0,IF(INDEX(original!$P$2:$P$1500,B32+2)=4,INDEX(original!$A$2:$K$1500,B32+2,9),IF(INDEX(original!$P$2:$P$1500,B32+3)=4,INDEX(original!$A$2:$K$1500,B32+3,9),0.0001)),0)</f>
        <v>17.545999999999999</v>
      </c>
      <c r="I32">
        <f>IF(A32&gt;0,IF(INDEX(original!$P$2:$P$1500,B32+2)=3,INDEX(original!$A$2:$K$1500,B32+2,10),0.001),)</f>
        <v>7.0449999999999999</v>
      </c>
      <c r="J32">
        <f>IF(A32&gt;0,IF(INDEX(original!$P$2:$P$1500,B32+2)=4,INDEX(original!$A$2:$K$1500,B32+2,11),IF(INDEX(original!$P$2:$P$1500,B32+3)=4,INDEX(original!$A$2:$K$1500,B32+3,11),0.001)),0)</f>
        <v>-13.723000000000001</v>
      </c>
      <c r="L32" t="s">
        <v>103</v>
      </c>
      <c r="M32">
        <v>93</v>
      </c>
      <c r="R32">
        <f t="shared" si="3"/>
        <v>16.410607016283524</v>
      </c>
      <c r="S32">
        <f t="shared" si="2"/>
        <v>17.541743454927126</v>
      </c>
      <c r="AD32" t="str">
        <f t="shared" si="11"/>
        <v>HEU5 15-25</v>
      </c>
      <c r="AE32">
        <f t="shared" si="12"/>
        <v>16.902915016104462</v>
      </c>
      <c r="AF32">
        <f t="shared" si="13"/>
        <v>18.309118372481016</v>
      </c>
      <c r="AG32">
        <f t="shared" si="14"/>
        <v>6.4797010341328836</v>
      </c>
      <c r="AH32">
        <f t="shared" si="15"/>
        <v>-14.115231142836535</v>
      </c>
      <c r="AJ32" t="b">
        <f t="shared" si="51"/>
        <v>0</v>
      </c>
      <c r="AK32" t="b">
        <f t="shared" si="52"/>
        <v>0</v>
      </c>
      <c r="AL32" t="b">
        <f t="shared" si="53"/>
        <v>0</v>
      </c>
      <c r="AM32" t="b">
        <f t="shared" si="54"/>
        <v>0</v>
      </c>
      <c r="AN32" t="b">
        <f t="shared" si="55"/>
        <v>0</v>
      </c>
      <c r="AO32" t="b">
        <f t="shared" si="56"/>
        <v>0</v>
      </c>
      <c r="AR32" t="str">
        <f t="shared" si="64"/>
        <v>USGS-41</v>
      </c>
      <c r="AS32">
        <f t="shared" si="65"/>
        <v>4.3336868454811155E-3</v>
      </c>
      <c r="AT32">
        <f t="shared" si="66"/>
        <v>11.22757646141058</v>
      </c>
      <c r="AW32" t="str">
        <f t="shared" si="16"/>
        <v>HEU5 15-25</v>
      </c>
      <c r="AX32">
        <f t="shared" si="17"/>
        <v>7.896972568198736E-2</v>
      </c>
      <c r="AY32">
        <f t="shared" si="21"/>
        <v>1.0102241133494883</v>
      </c>
      <c r="AZ32">
        <f t="shared" si="18"/>
        <v>4.3372857867567554</v>
      </c>
      <c r="BA32">
        <f t="shared" si="19"/>
        <v>-25.818900863053095</v>
      </c>
      <c r="BE32">
        <f>IF(COUNT($M$7:$M$21)=2,_xlfn.STDEV.S(INDEX(AX$2:AX$250,$M$7),INDEX(AX$2:AX$250,$M$8)),0)</f>
        <v>0</v>
      </c>
      <c r="BF32">
        <f t="shared" ref="BF32:BH32" si="74">IF(COUNT($M$7:$M$21)=2,_xlfn.STDEV.S(INDEX(AY$2:AY$250,$M$7),INDEX(AY$2:AY$250,$M$8)),0)</f>
        <v>0</v>
      </c>
      <c r="BG32">
        <f t="shared" si="74"/>
        <v>0</v>
      </c>
      <c r="BH32">
        <f t="shared" si="74"/>
        <v>0</v>
      </c>
      <c r="BJ32">
        <f t="shared" si="28"/>
        <v>1</v>
      </c>
      <c r="BK32">
        <f t="shared" si="29"/>
        <v>1</v>
      </c>
    </row>
    <row r="33" spans="1:63" x14ac:dyDescent="0.2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185</v>
      </c>
      <c r="C33" t="str">
        <f>IF(A33&gt;0,INDEX(original!$A$2:$K$1500,B33,2),0)</f>
        <v>HEU5 25+</v>
      </c>
      <c r="D33">
        <f>IF(A33&gt;0,INDEX(original!$A$2:$K$1500,B33,3),0)</f>
        <v>29.702999999999999</v>
      </c>
      <c r="E33">
        <f>IF(A33&gt;0,IF(INDEX(original!$P$2:$P$1500,B33+1)=2,INDEX(original!$A$2:$K$1500,B33+1,5),1000000),0)</f>
        <v>5219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4209</v>
      </c>
      <c r="G33">
        <f>IF(A33&gt;0,IF(INDEX(original!$P$2:$P$1500,B33+2)=3,INDEX(original!$A$2:$K$1500,B33+2,9),0.001),0)</f>
        <v>18.084</v>
      </c>
      <c r="H33">
        <f>IF(A33&gt;0,IF(INDEX(original!$P$2:$P$1500,B33+2)=4,INDEX(original!$A$2:$K$1500,B33+2,9),IF(INDEX(original!$P$2:$P$1500,B33+3)=4,INDEX(original!$A$2:$K$1500,B33+3,9),0.0001)),0)</f>
        <v>15.035</v>
      </c>
      <c r="I33">
        <f>IF(A33&gt;0,IF(INDEX(original!$P$2:$P$1500,B33+2)=3,INDEX(original!$A$2:$K$1500,B33+2,10),0.001),)</f>
        <v>7.04</v>
      </c>
      <c r="J33">
        <f>IF(A33&gt;0,IF(INDEX(original!$P$2:$P$1500,B33+2)=4,INDEX(original!$A$2:$K$1500,B33+2,11),IF(INDEX(original!$P$2:$P$1500,B33+3)=4,INDEX(original!$A$2:$K$1500,B33+3,11),0.001)),0)</f>
        <v>-13.218999999999999</v>
      </c>
      <c r="L33" t="s">
        <v>105</v>
      </c>
      <c r="M33">
        <v>95</v>
      </c>
      <c r="O33" t="s">
        <v>228</v>
      </c>
      <c r="P33">
        <f>MAX(A:A)</f>
        <v>96</v>
      </c>
      <c r="R33">
        <f t="shared" si="3"/>
        <v>18.087031902663345</v>
      </c>
      <c r="S33">
        <f t="shared" si="2"/>
        <v>15.027781366318209</v>
      </c>
      <c r="U33" t="s">
        <v>200</v>
      </c>
      <c r="V33">
        <f>(V30*V27-V28*V29)/(V27*V31-V29*V29)</f>
        <v>-1.3805266674677099E-4</v>
      </c>
      <c r="W33" s="12">
        <f t="shared" ref="W33:Y33" si="75">(W30*W27-W28*W29)/(W27*W31-W29*W29)</f>
        <v>5.5236604938386159E-5</v>
      </c>
      <c r="X33">
        <f>(X30*X27-X28*X29)/(X27*X31-X29*X29)</f>
        <v>-5.8329983513303612E-5</v>
      </c>
      <c r="Y33">
        <f t="shared" si="75"/>
        <v>-2.4205286230713029E-6</v>
      </c>
      <c r="Z33">
        <f>(Z30*Z27-Z28*Z29)/(Z27*Z31-Z29*Z29)</f>
        <v>-5.2107037990469049E-4</v>
      </c>
      <c r="AD33" t="str">
        <f t="shared" si="11"/>
        <v>HEU5 25+</v>
      </c>
      <c r="AE33">
        <f t="shared" si="12"/>
        <v>18.592295001153385</v>
      </c>
      <c r="AF33">
        <f t="shared" si="13"/>
        <v>15.765176060233903</v>
      </c>
      <c r="AG33">
        <f t="shared" si="14"/>
        <v>6.5024800722464589</v>
      </c>
      <c r="AH33">
        <f t="shared" si="15"/>
        <v>-13.624089781401491</v>
      </c>
      <c r="AJ33" t="b">
        <f t="shared" si="51"/>
        <v>0</v>
      </c>
      <c r="AK33" t="b">
        <f t="shared" si="52"/>
        <v>0</v>
      </c>
      <c r="AL33" t="b">
        <f t="shared" si="53"/>
        <v>0</v>
      </c>
      <c r="AM33" t="b">
        <f t="shared" si="54"/>
        <v>0</v>
      </c>
      <c r="AN33" t="b">
        <f t="shared" si="55"/>
        <v>0</v>
      </c>
      <c r="AO33" t="b">
        <f t="shared" si="56"/>
        <v>0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HEU5 25+</v>
      </c>
      <c r="AX33">
        <f t="shared" si="17"/>
        <v>8.7799372197851042E-2</v>
      </c>
      <c r="AY33">
        <f t="shared" si="21"/>
        <v>0.88757748023533956</v>
      </c>
      <c r="AZ33">
        <f t="shared" si="18"/>
        <v>4.3602161615156811</v>
      </c>
      <c r="BA33">
        <f t="shared" si="19"/>
        <v>-25.326020969948075</v>
      </c>
      <c r="BJ33">
        <f t="shared" si="28"/>
        <v>1</v>
      </c>
      <c r="BK33">
        <f t="shared" si="29"/>
        <v>1</v>
      </c>
    </row>
    <row r="34" spans="1:63" x14ac:dyDescent="0.2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191</v>
      </c>
      <c r="C34" t="str">
        <f>IF(A34&gt;0,INDEX(original!$A$2:$K$1500,B34,2),0)</f>
        <v>HEU6 15-25</v>
      </c>
      <c r="D34">
        <f>IF(A34&gt;0,INDEX(original!$A$2:$K$1500,B34,3),0)</f>
        <v>30.353000000000002</v>
      </c>
      <c r="E34">
        <f>IF(A34&gt;0,IF(INDEX(original!$P$2:$P$1500,B34+1)=2,INDEX(original!$A$2:$K$1500,B34+1,5),1000000),0)</f>
        <v>5223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4209</v>
      </c>
      <c r="G34">
        <f>IF(A34&gt;0,IF(INDEX(original!$P$2:$P$1500,B34+2)=3,INDEX(original!$A$2:$K$1500,B34+2,9),0.001),0)</f>
        <v>16.548999999999999</v>
      </c>
      <c r="H34">
        <f>IF(A34&gt;0,IF(INDEX(original!$P$2:$P$1500,B34+2)=4,INDEX(original!$A$2:$K$1500,B34+2,9),IF(INDEX(original!$P$2:$P$1500,B34+3)=4,INDEX(original!$A$2:$K$1500,B34+3,9),0.0001)),0)</f>
        <v>25.300999999999998</v>
      </c>
      <c r="I34">
        <f>IF(A34&gt;0,IF(INDEX(original!$P$2:$P$1500,B34+2)=3,INDEX(original!$A$2:$K$1500,B34+2,10),0.001),)</f>
        <v>7.1390000000000002</v>
      </c>
      <c r="J34">
        <f>IF(A34&gt;0,IF(INDEX(original!$P$2:$P$1500,B34+2)=4,INDEX(original!$A$2:$K$1500,B34+2,11),IF(INDEX(original!$P$2:$P$1500,B34+3)=4,INDEX(original!$A$2:$K$1500,B34+3,11),0.001)),0)</f>
        <v>-14.734</v>
      </c>
      <c r="L34" t="s">
        <v>133</v>
      </c>
      <c r="R34">
        <f t="shared" si="3"/>
        <v>16.539098482672792</v>
      </c>
      <c r="S34">
        <f t="shared" si="2"/>
        <v>25.288852434267838</v>
      </c>
      <c r="U34" t="s">
        <v>201</v>
      </c>
      <c r="V34">
        <f>(V28*V31-V30*V29)/(V27*V31-V29*V29)</f>
        <v>2.8773832854989023E-2</v>
      </c>
      <c r="W34">
        <f t="shared" ref="W34:Y34" si="76">(W28*W31-W30*W29)/(W27*W31-W29*W29)</f>
        <v>-1.8475936732993838E-2</v>
      </c>
      <c r="X34">
        <f>(X28*X31-X30*X29)/(X27*X31-X29*X29)</f>
        <v>2.1917040989328555E-2</v>
      </c>
      <c r="Y34">
        <f t="shared" si="76"/>
        <v>-5.036054142133462E-3</v>
      </c>
      <c r="Z34">
        <f>(Z28*Z31-Z30*Z29)/(Z27*Z31-Z29*Z29)</f>
        <v>7.3917797725832915E-2</v>
      </c>
      <c r="AD34" t="str">
        <f t="shared" si="11"/>
        <v>HEU6 15-25</v>
      </c>
      <c r="AE34">
        <f t="shared" si="12"/>
        <v>17.032616172538251</v>
      </c>
      <c r="AF34">
        <f t="shared" si="13"/>
        <v>26.026374799173905</v>
      </c>
      <c r="AG34">
        <f t="shared" si="14"/>
        <v>6.575841176030333</v>
      </c>
      <c r="AH34">
        <f t="shared" si="15"/>
        <v>-15.086413118995916</v>
      </c>
      <c r="AJ34" t="b">
        <f t="shared" si="51"/>
        <v>0</v>
      </c>
      <c r="AK34" t="b">
        <f t="shared" si="52"/>
        <v>0</v>
      </c>
      <c r="AL34" t="b">
        <f t="shared" si="53"/>
        <v>0</v>
      </c>
      <c r="AM34" t="b">
        <f t="shared" si="54"/>
        <v>0</v>
      </c>
      <c r="AN34" t="b">
        <f t="shared" si="55"/>
        <v>0</v>
      </c>
      <c r="AO34" t="b">
        <f t="shared" si="56"/>
        <v>0</v>
      </c>
      <c r="AR34" t="str">
        <f t="shared" si="64"/>
        <v>BRS</v>
      </c>
      <c r="AS34">
        <f t="shared" si="65"/>
        <v>3.4465025065596067E-6</v>
      </c>
      <c r="AT34">
        <f t="shared" si="66"/>
        <v>37.681118266108761</v>
      </c>
      <c r="AW34" t="str">
        <f t="shared" si="16"/>
        <v>HEU6 15-25</v>
      </c>
      <c r="AX34">
        <f t="shared" si="17"/>
        <v>7.8609063590434014E-2</v>
      </c>
      <c r="AY34">
        <f t="shared" si="21"/>
        <v>1.3895056432367312</v>
      </c>
      <c r="AZ34">
        <f t="shared" si="18"/>
        <v>4.4340646530149872</v>
      </c>
      <c r="BA34">
        <f t="shared" si="19"/>
        <v>-26.793520608367022</v>
      </c>
      <c r="BJ34">
        <f t="shared" si="28"/>
        <v>1</v>
      </c>
      <c r="BK34">
        <f t="shared" si="29"/>
        <v>1</v>
      </c>
    </row>
    <row r="35" spans="1:63" x14ac:dyDescent="0.2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197</v>
      </c>
      <c r="C35" t="str">
        <f>IF(A35&gt;0,INDEX(original!$A$2:$K$1500,B35,2),0)</f>
        <v>HEU7 15-25</v>
      </c>
      <c r="D35">
        <f>IF(A35&gt;0,INDEX(original!$A$2:$K$1500,B35,3),0)</f>
        <v>30.434000000000001</v>
      </c>
      <c r="E35">
        <f>IF(A35&gt;0,IF(INDEX(original!$P$2:$P$1500,B35+1)=2,INDEX(original!$A$2:$K$1500,B35+1,5),1000000),0)</f>
        <v>5220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4204</v>
      </c>
      <c r="G35">
        <f>IF(A35&gt;0,IF(INDEX(original!$P$2:$P$1500,B35+2)=3,INDEX(original!$A$2:$K$1500,B35+2,9),0.001),0)</f>
        <v>1E-3</v>
      </c>
      <c r="H35">
        <f>IF(A35&gt;0,IF(INDEX(original!$P$2:$P$1500,B35+2)=4,INDEX(original!$A$2:$K$1500,B35+2,9),IF(INDEX(original!$P$2:$P$1500,B35+3)=4,INDEX(original!$A$2:$K$1500,B35+3,9),0.0001)),0)</f>
        <v>1E-4</v>
      </c>
      <c r="I35">
        <f>IF(A35&gt;0,IF(INDEX(original!$P$2:$P$1500,B35+2)=3,INDEX(original!$A$2:$K$1500,B35+2,10),0.001),)</f>
        <v>1E-3</v>
      </c>
      <c r="J35">
        <f>IF(A35&gt;0,IF(INDEX(original!$P$2:$P$1500,B35+2)=4,INDEX(original!$A$2:$K$1500,B35+2,11),IF(INDEX(original!$P$2:$P$1500,B35+3)=4,INDEX(original!$A$2:$K$1500,B35+3,11),0.001)),0)</f>
        <v>1E-3</v>
      </c>
      <c r="L35" t="s">
        <v>134</v>
      </c>
      <c r="R35">
        <f t="shared" si="3"/>
        <v>9.9997605363984676E-4</v>
      </c>
      <c r="S35">
        <f t="shared" si="2"/>
        <v>1.0007086504915955E-4</v>
      </c>
      <c r="U35" t="s">
        <v>203</v>
      </c>
      <c r="V35">
        <f>V20/V18-V34*V19/V18-V33*V21/V18</f>
        <v>19.609643245340216</v>
      </c>
      <c r="W35">
        <f t="shared" ref="W35:Y35" si="77">W20/W18-W34*W19/W18-W33*W21/W18</f>
        <v>5.1576246419965326</v>
      </c>
      <c r="X35">
        <f>X20/X18-X34*X19/X18-X33*X21/X18</f>
        <v>28.138228303278655</v>
      </c>
      <c r="Y35">
        <f t="shared" si="77"/>
        <v>-13.776682859825447</v>
      </c>
      <c r="Z35">
        <f>Z20/Z18-Z34*Z19/Z18-Z33*Z21/Z18</f>
        <v>27.077758384725819</v>
      </c>
      <c r="AD35" t="str">
        <f t="shared" si="11"/>
        <v>HEU7 15-25</v>
      </c>
      <c r="AE35">
        <f t="shared" si="12"/>
        <v>1.0528219721962252E-3</v>
      </c>
      <c r="AF35">
        <f t="shared" si="13"/>
        <v>1.0883163982394719E-4</v>
      </c>
      <c r="AG35">
        <f t="shared" si="14"/>
        <v>-0.85260616655746446</v>
      </c>
      <c r="AH35">
        <f t="shared" si="15"/>
        <v>-0.48031663621223153</v>
      </c>
      <c r="AJ35" t="b">
        <f t="shared" si="51"/>
        <v>0</v>
      </c>
      <c r="AK35" t="b">
        <f t="shared" si="52"/>
        <v>0</v>
      </c>
      <c r="AL35" t="b">
        <f t="shared" si="53"/>
        <v>0</v>
      </c>
      <c r="AM35" t="b">
        <f t="shared" si="54"/>
        <v>0</v>
      </c>
      <c r="AN35" t="b">
        <f t="shared" si="55"/>
        <v>0</v>
      </c>
      <c r="AO35" t="b">
        <f t="shared" si="56"/>
        <v>0</v>
      </c>
      <c r="AR35" t="str">
        <f t="shared" si="64"/>
        <v>Peach</v>
      </c>
      <c r="AS35">
        <f t="shared" si="65"/>
        <v>3.1323371072239421E-5</v>
      </c>
      <c r="AT35">
        <f t="shared" si="66"/>
        <v>11.459221255476105</v>
      </c>
      <c r="AW35" t="str">
        <f t="shared" si="16"/>
        <v>HEU7 15-25</v>
      </c>
      <c r="AX35">
        <f>IF(D35&gt;0,IF(($AN$16*AE35/D35-$AN$18)/$AN$17&gt;$AQ$15,($AN$16*AE35/D35-$AN$18)/$AN$17,($AN$16*AE35/D35-$AO$18)/$AO$17),0)</f>
        <v>-9.852309970101844E-4</v>
      </c>
      <c r="AY35">
        <f t="shared" si="21"/>
        <v>7.2135066914995119E-2</v>
      </c>
      <c r="AZ35">
        <f t="shared" si="18"/>
        <v>-3.0437349183802094</v>
      </c>
      <c r="BA35">
        <f t="shared" si="19"/>
        <v>-12.135721778145424</v>
      </c>
      <c r="BC35" t="s">
        <v>243</v>
      </c>
      <c r="BJ35">
        <f t="shared" si="28"/>
        <v>1</v>
      </c>
      <c r="BK35">
        <f t="shared" si="29"/>
        <v>1</v>
      </c>
    </row>
    <row r="36" spans="1:63" x14ac:dyDescent="0.2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201</v>
      </c>
      <c r="C36" t="str">
        <f>IF(A36&gt;0,INDEX(original!$A$2:$K$1500,B36,2),0)</f>
        <v>HEU8 15-25</v>
      </c>
      <c r="D36">
        <f>IF(A36&gt;0,INDEX(original!$A$2:$K$1500,B36,3),0)</f>
        <v>29.867000000000001</v>
      </c>
      <c r="E36">
        <f>IF(A36&gt;0,IF(INDEX(original!$P$2:$P$1500,B36+1)=2,INDEX(original!$A$2:$K$1500,B36+1,5),1000000),0)</f>
        <v>5215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4206</v>
      </c>
      <c r="G36">
        <f>IF(A36&gt;0,IF(INDEX(original!$P$2:$P$1500,B36+2)=3,INDEX(original!$A$2:$K$1500,B36+2,9),0.001),0)</f>
        <v>20.805</v>
      </c>
      <c r="H36">
        <f>IF(A36&gt;0,IF(INDEX(original!$P$2:$P$1500,B36+2)=4,INDEX(original!$A$2:$K$1500,B36+2,9),IF(INDEX(original!$P$2:$P$1500,B36+3)=4,INDEX(original!$A$2:$K$1500,B36+3,9),0.0001)),0)</f>
        <v>32.21</v>
      </c>
      <c r="I36">
        <f>IF(A36&gt;0,IF(INDEX(original!$P$2:$P$1500,B36+2)=3,INDEX(original!$A$2:$K$1500,B36+2,10),0.001),)</f>
        <v>7.8710000000000004</v>
      </c>
      <c r="J36">
        <f>IF(A36&gt;0,IF(INDEX(original!$P$2:$P$1500,B36+2)=4,INDEX(original!$A$2:$K$1500,B36+2,11),IF(INDEX(original!$P$2:$P$1500,B36+3)=4,INDEX(original!$A$2:$K$1500,B36+3,11),0.001)),0)</f>
        <v>-14.930999999999999</v>
      </c>
      <c r="L36" t="s">
        <v>135</v>
      </c>
      <c r="M36">
        <v>94</v>
      </c>
      <c r="R36">
        <f t="shared" si="3"/>
        <v>20.824448585810163</v>
      </c>
      <c r="S36">
        <f t="shared" si="2"/>
        <v>32.21749856356</v>
      </c>
      <c r="AD36" t="str">
        <f t="shared" si="11"/>
        <v>HEU8 15-25</v>
      </c>
      <c r="AE36">
        <f t="shared" si="12"/>
        <v>21.33812355385172</v>
      </c>
      <c r="AF36">
        <f t="shared" si="13"/>
        <v>32.961282175938742</v>
      </c>
      <c r="AG36">
        <f t="shared" si="14"/>
        <v>7.3781727757910467</v>
      </c>
      <c r="AH36">
        <f t="shared" si="15"/>
        <v>-15.247555643733801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HEU8 15-25</v>
      </c>
      <c r="AX36">
        <f t="shared" si="17"/>
        <v>0.10035282491846811</v>
      </c>
      <c r="AY36">
        <f t="shared" si="21"/>
        <v>1.7676780372011052</v>
      </c>
      <c r="AZ36">
        <f t="shared" si="18"/>
        <v>5.2417266873691837</v>
      </c>
      <c r="BA36">
        <f t="shared" si="19"/>
        <v>-26.955233541961981</v>
      </c>
      <c r="BJ36">
        <f t="shared" si="28"/>
        <v>1</v>
      </c>
      <c r="BK36">
        <f t="shared" si="29"/>
        <v>1</v>
      </c>
    </row>
    <row r="37" spans="1:63" x14ac:dyDescent="0.2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207</v>
      </c>
      <c r="C37" t="str">
        <f>IF(A37&gt;0,INDEX(original!$A$2:$K$1500,B37,2),0)</f>
        <v>BRS3</v>
      </c>
      <c r="D37">
        <f>IF(A37&gt;0,INDEX(original!$A$2:$K$1500,B37,3),0)</f>
        <v>11.997</v>
      </c>
      <c r="E37">
        <f>IF(A37&gt;0,IF(INDEX(original!$P$2:$P$1500,B37+1)=2,INDEX(original!$A$2:$K$1500,B37+1,5),1000000),0)</f>
        <v>5219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4209</v>
      </c>
      <c r="G37">
        <f>IF(A37&gt;0,IF(INDEX(original!$P$2:$P$1500,B37+2)=3,INDEX(original!$A$2:$K$1500,B37+2,9),0.001),0)</f>
        <v>15.872999999999999</v>
      </c>
      <c r="H37">
        <f>IF(A37&gt;0,IF(INDEX(original!$P$2:$P$1500,B37+2)=4,INDEX(original!$A$2:$K$1500,B37+2,9),IF(INDEX(original!$P$2:$P$1500,B37+3)=4,INDEX(original!$A$2:$K$1500,B37+3,9),0.0001)),0)</f>
        <v>23.273</v>
      </c>
      <c r="I37">
        <f>IF(A37&gt;0,IF(INDEX(original!$P$2:$P$1500,B37+2)=3,INDEX(original!$A$2:$K$1500,B37+2,10),0.001),)</f>
        <v>5.7080000000000002</v>
      </c>
      <c r="J37">
        <f>IF(A37&gt;0,IF(INDEX(original!$P$2:$P$1500,B37+2)=4,INDEX(original!$A$2:$K$1500,B37+2,11),IF(INDEX(original!$P$2:$P$1500,B37+3)=4,INDEX(original!$A$2:$K$1500,B37+3,11),0.001)),0)</f>
        <v>-7.2640000000000002</v>
      </c>
      <c r="L37" t="s">
        <v>136</v>
      </c>
      <c r="M37">
        <v>88</v>
      </c>
      <c r="R37">
        <f t="shared" si="3"/>
        <v>15.875661213834066</v>
      </c>
      <c r="S37">
        <f t="shared" si="2"/>
        <v>23.2618261216045</v>
      </c>
      <c r="AD37" t="str">
        <f t="shared" si="11"/>
        <v>BRS3</v>
      </c>
      <c r="AE37">
        <f t="shared" si="12"/>
        <v>16.362539720339917</v>
      </c>
      <c r="AF37">
        <f t="shared" si="13"/>
        <v>24.022973406186612</v>
      </c>
      <c r="AG37">
        <f t="shared" si="14"/>
        <v>5.1337714230323019</v>
      </c>
      <c r="AH37">
        <f t="shared" si="15"/>
        <v>-7.6268595459547557</v>
      </c>
      <c r="AW37" t="str">
        <f t="shared" si="16"/>
        <v>BRS3</v>
      </c>
      <c r="AX37">
        <f t="shared" si="17"/>
        <v>0.19247692067912681</v>
      </c>
      <c r="AY37">
        <f t="shared" si="21"/>
        <v>3.1485934088621477</v>
      </c>
      <c r="AZ37">
        <f t="shared" si="18"/>
        <v>2.9824142496974511</v>
      </c>
      <c r="BA37">
        <f t="shared" si="19"/>
        <v>-19.307561867386589</v>
      </c>
      <c r="BJ37">
        <f t="shared" si="28"/>
        <v>1</v>
      </c>
      <c r="BK37">
        <f t="shared" si="29"/>
        <v>1</v>
      </c>
    </row>
    <row r="38" spans="1:63" x14ac:dyDescent="0.2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213</v>
      </c>
      <c r="C38" t="str">
        <f>IF(A38&gt;0,INDEX(original!$A$2:$K$1500,B38,2),0)</f>
        <v>HEU8 25+</v>
      </c>
      <c r="D38">
        <f>IF(A38&gt;0,INDEX(original!$A$2:$K$1500,B38,3),0)</f>
        <v>29.501999999999999</v>
      </c>
      <c r="E38">
        <f>IF(A38&gt;0,IF(INDEX(original!$P$2:$P$1500,B38+1)=2,INDEX(original!$A$2:$K$1500,B38+1,5),1000000),0)</f>
        <v>5220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4207</v>
      </c>
      <c r="G38">
        <f>IF(A38&gt;0,IF(INDEX(original!$P$2:$P$1500,B38+2)=3,INDEX(original!$A$2:$K$1500,B38+2,9),0.001),0)</f>
        <v>17.388000000000002</v>
      </c>
      <c r="H38">
        <f>IF(A38&gt;0,IF(INDEX(original!$P$2:$P$1500,B38+2)=4,INDEX(original!$A$2:$K$1500,B38+2,9),IF(INDEX(original!$P$2:$P$1500,B38+3)=4,INDEX(original!$A$2:$K$1500,B38+3,9),0.0001)),0)</f>
        <v>16.042999999999999</v>
      </c>
      <c r="I38">
        <f>IF(A38&gt;0,IF(INDEX(original!$P$2:$P$1500,B38+2)=3,INDEX(original!$A$2:$K$1500,B38+2,10),0.001),)</f>
        <v>6.5339999999999998</v>
      </c>
      <c r="J38">
        <f>IF(A38&gt;0,IF(INDEX(original!$P$2:$P$1500,B38+2)=4,INDEX(original!$A$2:$K$1500,B38+2,11),IF(INDEX(original!$P$2:$P$1500,B38+3)=4,INDEX(original!$A$2:$K$1500,B38+3,11),0.001)),0)</f>
        <v>-13.342000000000001</v>
      </c>
      <c r="L38" t="s">
        <v>137</v>
      </c>
      <c r="R38">
        <f t="shared" si="3"/>
        <v>17.387583620689657</v>
      </c>
      <c r="S38">
        <f t="shared" si="2"/>
        <v>16.042920554036922</v>
      </c>
      <c r="U38" t="s">
        <v>229</v>
      </c>
      <c r="AD38" t="str">
        <f t="shared" si="11"/>
        <v>HEU8 25+</v>
      </c>
      <c r="AE38">
        <f t="shared" si="12"/>
        <v>17.888181358105026</v>
      </c>
      <c r="AF38">
        <f t="shared" si="13"/>
        <v>16.795064954178578</v>
      </c>
      <c r="AG38">
        <f t="shared" si="14"/>
        <v>5.9849276770768185</v>
      </c>
      <c r="AH38">
        <f t="shared" si="15"/>
        <v>-13.741901139386188</v>
      </c>
      <c r="AJ38" t="s">
        <v>175</v>
      </c>
      <c r="AO38" t="s">
        <v>178</v>
      </c>
      <c r="AP38" t="s">
        <v>179</v>
      </c>
      <c r="AW38" t="str">
        <f t="shared" si="16"/>
        <v>HEU8 25+</v>
      </c>
      <c r="AX38">
        <f t="shared" si="17"/>
        <v>8.501882360585479E-2</v>
      </c>
      <c r="AY38">
        <f t="shared" si="21"/>
        <v>0.94676676676221716</v>
      </c>
      <c r="AZ38">
        <f t="shared" si="18"/>
        <v>3.8392253137262329</v>
      </c>
      <c r="BA38">
        <f t="shared" si="19"/>
        <v>-25.444249354054012</v>
      </c>
      <c r="BJ38">
        <f t="shared" si="28"/>
        <v>1</v>
      </c>
      <c r="BK38">
        <f t="shared" si="29"/>
        <v>1</v>
      </c>
    </row>
    <row r="39" spans="1:63" x14ac:dyDescent="0.2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219</v>
      </c>
      <c r="C39" t="str">
        <f>IF(A39&gt;0,INDEX(original!$A$2:$K$1500,B39,2),0)</f>
        <v>HET5 15-25</v>
      </c>
      <c r="D39">
        <f>IF(A39&gt;0,INDEX(original!$A$2:$K$1500,B39,3),0)</f>
        <v>30.434999999999999</v>
      </c>
      <c r="E39">
        <f>IF(A39&gt;0,IF(INDEX(original!$P$2:$P$1500,B39+1)=2,INDEX(original!$A$2:$K$1500,B39+1,5),1000000),0)</f>
        <v>5220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4209</v>
      </c>
      <c r="G39">
        <f>IF(A39&gt;0,IF(INDEX(original!$P$2:$P$1500,B39+2)=3,INDEX(original!$A$2:$K$1500,B39+2,9),0.001),0)</f>
        <v>1E-3</v>
      </c>
      <c r="H39">
        <f>IF(A39&gt;0,IF(INDEX(original!$P$2:$P$1500,B39+2)=4,INDEX(original!$A$2:$K$1500,B39+2,9),IF(INDEX(original!$P$2:$P$1500,B39+3)=4,INDEX(original!$A$2:$K$1500,B39+3,9),0.0001)),0)</f>
        <v>1E-4</v>
      </c>
      <c r="I39">
        <f>IF(A39&gt;0,IF(INDEX(original!$P$2:$P$1500,B39+2)=3,INDEX(original!$A$2:$K$1500,B39+2,10),0.001),)</f>
        <v>1E-3</v>
      </c>
      <c r="J39">
        <f>IF(A39&gt;0,IF(INDEX(original!$P$2:$P$1500,B39+2)=4,INDEX(original!$A$2:$K$1500,B39+2,11),IF(INDEX(original!$P$2:$P$1500,B39+3)=4,INDEX(original!$A$2:$K$1500,B39+3,11),0.001)),0)</f>
        <v>1E-3</v>
      </c>
      <c r="L39" t="s">
        <v>138</v>
      </c>
      <c r="R39">
        <f t="shared" si="3"/>
        <v>9.9997605363984676E-4</v>
      </c>
      <c r="S39">
        <f t="shared" si="2"/>
        <v>9.9951987803912267E-5</v>
      </c>
      <c r="U39" t="s">
        <v>204</v>
      </c>
      <c r="V39" t="s">
        <v>205</v>
      </c>
      <c r="AD39" t="str">
        <f t="shared" si="11"/>
        <v>HET5 15-25</v>
      </c>
      <c r="AE39">
        <f t="shared" si="12"/>
        <v>1.0528219721962252E-3</v>
      </c>
      <c r="AF39">
        <f t="shared" si="13"/>
        <v>1.0870235542132303E-4</v>
      </c>
      <c r="AG39">
        <f t="shared" si="14"/>
        <v>-0.85260616655746446</v>
      </c>
      <c r="AH39">
        <f t="shared" si="15"/>
        <v>-0.48031663681090464</v>
      </c>
      <c r="AJ39" s="13" t="s">
        <v>181</v>
      </c>
      <c r="AK39" s="4" t="s">
        <v>182</v>
      </c>
      <c r="AL39" s="4" t="s">
        <v>183</v>
      </c>
      <c r="AM39" s="4" t="s">
        <v>230</v>
      </c>
      <c r="AN39" s="4" t="s">
        <v>185</v>
      </c>
      <c r="AO39" s="4" t="s">
        <v>231</v>
      </c>
      <c r="AP39" s="4" t="s">
        <v>230</v>
      </c>
      <c r="AR39" s="5"/>
      <c r="AS39" s="4"/>
      <c r="AT39" s="4"/>
      <c r="AW39" t="str">
        <f t="shared" si="16"/>
        <v>HET5 15-25</v>
      </c>
      <c r="AX39">
        <f t="shared" si="17"/>
        <v>-9.852311582423071E-4</v>
      </c>
      <c r="AY39">
        <f t="shared" si="21"/>
        <v>7.2135060208124407E-2</v>
      </c>
      <c r="AZ39">
        <f t="shared" si="18"/>
        <v>-3.0437349183802094</v>
      </c>
      <c r="BA39">
        <f t="shared" si="19"/>
        <v>-12.135721778746216</v>
      </c>
      <c r="BC39" t="s">
        <v>243</v>
      </c>
      <c r="BJ39">
        <f t="shared" si="28"/>
        <v>1</v>
      </c>
      <c r="BK39">
        <f t="shared" si="29"/>
        <v>1</v>
      </c>
    </row>
    <row r="40" spans="1:63" x14ac:dyDescent="0.2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223</v>
      </c>
      <c r="C40" t="str">
        <f>IF(A40&gt;0,INDEX(original!$A$2:$K$1500,B40,2),0)</f>
        <v>HET5 25+</v>
      </c>
      <c r="D40">
        <f>IF(A40&gt;0,INDEX(original!$A$2:$K$1500,B40,3),0)</f>
        <v>29.75</v>
      </c>
      <c r="E40">
        <f>IF(A40&gt;0,IF(INDEX(original!$P$2:$P$1500,B40+1)=2,INDEX(original!$A$2:$K$1500,B40+1,5),1000000),0)</f>
        <v>5221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4209</v>
      </c>
      <c r="G40">
        <f>IF(A40&gt;0,IF(INDEX(original!$P$2:$P$1500,B40+2)=3,INDEX(original!$A$2:$K$1500,B40+2,9),0.001),0)</f>
        <v>14.414</v>
      </c>
      <c r="H40">
        <f>IF(A40&gt;0,IF(INDEX(original!$P$2:$P$1500,B40+2)=4,INDEX(original!$A$2:$K$1500,B40+2,9),IF(INDEX(original!$P$2:$P$1500,B40+3)=4,INDEX(original!$A$2:$K$1500,B40+3,9),0.0001)),0)</f>
        <v>11.677</v>
      </c>
      <c r="I40">
        <f>IF(A40&gt;0,IF(INDEX(original!$P$2:$P$1500,B40+2)=3,INDEX(original!$A$2:$K$1500,B40+2,10),0.001),)</f>
        <v>7.4930000000000003</v>
      </c>
      <c r="J40">
        <f>IF(A40&gt;0,IF(INDEX(original!$P$2:$P$1500,B40+2)=4,INDEX(original!$A$2:$K$1500,B40+2,11),IF(INDEX(original!$P$2:$P$1500,B40+3)=4,INDEX(original!$A$2:$K$1500,B40+3,11),0.001)),0)</f>
        <v>-12.819000000000001</v>
      </c>
      <c r="L40" t="s">
        <v>139</v>
      </c>
      <c r="R40">
        <f t="shared" si="3"/>
        <v>14.410894129477112</v>
      </c>
      <c r="S40">
        <f t="shared" si="2"/>
        <v>11.671393615862833</v>
      </c>
      <c r="U40">
        <v>1</v>
      </c>
      <c r="V40">
        <f>(Z2-V$10*V2^2-V$11*V2-V$12)^2</f>
        <v>2.8328180573074208E-2</v>
      </c>
      <c r="W40">
        <f t="shared" ref="W40:W46" si="78">(W2-W$10*V2^2-W$11*V2-W$12)^2</f>
        <v>5.0124510844826338E-3</v>
      </c>
      <c r="X40">
        <f>(AA2-X$10*X2^2-X$11*X2-X$12)^2</f>
        <v>0.14987839510067114</v>
      </c>
      <c r="Y40">
        <f t="shared" ref="Y40:Y46" si="79">(Y2-Y$10*X2^2-Y$11*X2-Y$12)^2</f>
        <v>7.4082439882000133E-3</v>
      </c>
      <c r="Z40">
        <f>(AA2-Z$10*X2^2-Z$11*X2-Z$12)^2</f>
        <v>1.0816542936740116E-3</v>
      </c>
      <c r="AD40" t="str">
        <f t="shared" si="11"/>
        <v>HET5 25+</v>
      </c>
      <c r="AE40">
        <f t="shared" si="12"/>
        <v>14.879608552621638</v>
      </c>
      <c r="AF40">
        <f t="shared" si="13"/>
        <v>12.332577890265803</v>
      </c>
      <c r="AG40">
        <f t="shared" si="14"/>
        <v>6.894158926713831</v>
      </c>
      <c r="AH40">
        <f t="shared" si="15"/>
        <v>-13.241209642143099</v>
      </c>
      <c r="AJ40" t="s">
        <v>99</v>
      </c>
      <c r="AK40">
        <f>IF(M28&gt;0,INDEX(D$2:D$1500,M28),0)</f>
        <v>0</v>
      </c>
      <c r="AL40">
        <f>IF(M28&gt;0,INDEX(AE$2:AH$1500,M28,2),0)</f>
        <v>0</v>
      </c>
      <c r="AM40">
        <v>71.09</v>
      </c>
      <c r="AN40" s="6" t="b">
        <f>IF(AK40&gt;0,AM40*AK40/AL40)</f>
        <v>0</v>
      </c>
      <c r="AO40" s="7" t="b">
        <f>IF(AK40&gt;0,$AN$50*AL40/AK40)</f>
        <v>0</v>
      </c>
      <c r="AP40" t="b">
        <f>IF(AK40&gt;0,71.09)</f>
        <v>0</v>
      </c>
      <c r="AR40" t="s">
        <v>190</v>
      </c>
      <c r="AS40">
        <f>COUNT(AO40:AO49)</f>
        <v>8</v>
      </c>
      <c r="AW40" t="str">
        <f t="shared" si="16"/>
        <v>HET5 25+</v>
      </c>
      <c r="AX40">
        <f t="shared" si="17"/>
        <v>6.9956776027406076E-2</v>
      </c>
      <c r="AY40">
        <f t="shared" si="21"/>
        <v>0.70901983635629739</v>
      </c>
      <c r="AZ40">
        <f t="shared" si="18"/>
        <v>4.7544972050480379</v>
      </c>
      <c r="BA40">
        <f t="shared" si="19"/>
        <v>-24.941785519774797</v>
      </c>
      <c r="BJ40">
        <f t="shared" si="28"/>
        <v>1</v>
      </c>
      <c r="BK40">
        <f t="shared" si="29"/>
        <v>1</v>
      </c>
    </row>
    <row r="41" spans="1:63" x14ac:dyDescent="0.2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229</v>
      </c>
      <c r="C41" t="str">
        <f>IF(A41&gt;0,INDEX(original!$A$2:$K$1500,B41,2),0)</f>
        <v>HET6 15-25</v>
      </c>
      <c r="D41">
        <f>IF(A41&gt;0,INDEX(original!$A$2:$K$1500,B41,3),0)</f>
        <v>30.097000000000001</v>
      </c>
      <c r="E41">
        <f>IF(A41&gt;0,IF(INDEX(original!$P$2:$P$1500,B41+1)=2,INDEX(original!$A$2:$K$1500,B41+1,5),1000000),0)</f>
        <v>5222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4209</v>
      </c>
      <c r="G41">
        <f>IF(A41&gt;0,IF(INDEX(original!$P$2:$P$1500,B41+2)=3,INDEX(original!$A$2:$K$1500,B41+2,9),0.001),0)</f>
        <v>15.244</v>
      </c>
      <c r="H41">
        <f>IF(A41&gt;0,IF(INDEX(original!$P$2:$P$1500,B41+2)=4,INDEX(original!$A$2:$K$1500,B41+2,9),IF(INDEX(original!$P$2:$P$1500,B41+3)=4,INDEX(original!$A$2:$K$1500,B41+3,9),0.0001)),0)</f>
        <v>18.033000000000001</v>
      </c>
      <c r="I41">
        <f>IF(A41&gt;0,IF(INDEX(original!$P$2:$P$1500,B41+2)=3,INDEX(original!$A$2:$K$1500,B41+2,10),0.001),)</f>
        <v>7.7759999999999998</v>
      </c>
      <c r="J41">
        <f>IF(A41&gt;0,IF(INDEX(original!$P$2:$P$1500,B41+2)=4,INDEX(original!$A$2:$K$1500,B41+2,11),IF(INDEX(original!$P$2:$P$1500,B41+3)=4,INDEX(original!$A$2:$K$1500,B41+3,11),0.001)),0)</f>
        <v>-14.028</v>
      </c>
      <c r="L41" t="s">
        <v>140</v>
      </c>
      <c r="R41">
        <f t="shared" si="3"/>
        <v>15.23779672539257</v>
      </c>
      <c r="S41">
        <f t="shared" si="2"/>
        <v>18.0243419606795</v>
      </c>
      <c r="U41">
        <v>2</v>
      </c>
      <c r="V41">
        <f t="shared" ref="V41:V46" si="80">(Z3-V$10*V3^2-V$11*V3-V$12)^2</f>
        <v>0.16265122010092581</v>
      </c>
      <c r="W41">
        <f t="shared" si="78"/>
        <v>1.9126094316262664E-3</v>
      </c>
      <c r="X41">
        <f t="shared" ref="X41:X46" si="81">(AA3-X$10*X3^2-X$11*X3-X$12)^2</f>
        <v>0.19479274086554091</v>
      </c>
      <c r="Y41">
        <f t="shared" si="79"/>
        <v>5.5210802652336313E-3</v>
      </c>
      <c r="Z41">
        <f t="shared" ref="Z41:Z46" si="82">(AA3-Z$10*X3^2-Z$11*X3-Z$12)^2</f>
        <v>2.0180457251797669E-3</v>
      </c>
      <c r="AD41" t="str">
        <f t="shared" si="11"/>
        <v>HET6 15-25</v>
      </c>
      <c r="AE41">
        <f t="shared" si="12"/>
        <v>15.717364202939434</v>
      </c>
      <c r="AF41">
        <f t="shared" si="13"/>
        <v>18.795022798049569</v>
      </c>
      <c r="AG41">
        <f t="shared" si="14"/>
        <v>7.1910825141477099</v>
      </c>
      <c r="AH41">
        <f t="shared" si="15"/>
        <v>-14.417759204341275</v>
      </c>
      <c r="AJ41" t="s">
        <v>191</v>
      </c>
      <c r="AK41">
        <f t="shared" ref="AK41:AK45" si="83">IF(M29&gt;0,INDEX(D$2:D$1500,M29),0)</f>
        <v>0.69699999999999995</v>
      </c>
      <c r="AL41">
        <f t="shared" ref="AL41:AL46" si="84">IF(M29&gt;0,INDEX(AE$2:AH$1500,M29,2),0)</f>
        <v>18.96353417523752</v>
      </c>
      <c r="AM41">
        <v>41.84</v>
      </c>
      <c r="AN41" s="6">
        <f t="shared" ref="AN41:AN48" si="85">IF(AK41&gt;0,AM41*AK41/AL41)</f>
        <v>1.5378188332679155</v>
      </c>
      <c r="AO41" s="7">
        <f t="shared" ref="AO41:AO48" si="86">IF(AK41&gt;0,$AN$50*AL41/AK41)</f>
        <v>42.13344194348938</v>
      </c>
      <c r="AP41">
        <f>IF(AK41&gt;0,41.84)</f>
        <v>41.84</v>
      </c>
      <c r="AR41" t="s">
        <v>192</v>
      </c>
      <c r="AS41" s="8">
        <f>SUM(AO40:AO49)</f>
        <v>294.94177392389292</v>
      </c>
      <c r="AT41" s="8"/>
      <c r="AW41" t="str">
        <f t="shared" si="16"/>
        <v>HET6 15-25</v>
      </c>
      <c r="AX41">
        <f t="shared" si="17"/>
        <v>7.3087219582949864E-2</v>
      </c>
      <c r="AY41">
        <f t="shared" si="21"/>
        <v>1.0315685577983029</v>
      </c>
      <c r="AZ41">
        <f t="shared" si="18"/>
        <v>5.0533934578518842</v>
      </c>
      <c r="BA41">
        <f t="shared" si="19"/>
        <v>-26.122499806909193</v>
      </c>
      <c r="BJ41">
        <f t="shared" si="28"/>
        <v>1</v>
      </c>
      <c r="BK41">
        <f t="shared" si="29"/>
        <v>1</v>
      </c>
    </row>
    <row r="42" spans="1:63" x14ac:dyDescent="0.2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235</v>
      </c>
      <c r="C42" t="str">
        <f>IF(A42&gt;0,INDEX(original!$A$2:$K$1500,B42,2),0)</f>
        <v>HET6 25+</v>
      </c>
      <c r="D42">
        <f>IF(A42&gt;0,INDEX(original!$A$2:$K$1500,B42,3),0)</f>
        <v>29.978000000000002</v>
      </c>
      <c r="E42">
        <f>IF(A42&gt;0,IF(INDEX(original!$P$2:$P$1500,B42+1)=2,INDEX(original!$A$2:$K$1500,B42+1,5),1000000),0)</f>
        <v>5223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4209</v>
      </c>
      <c r="G42">
        <f>IF(A42&gt;0,IF(INDEX(original!$P$2:$P$1500,B42+2)=3,INDEX(original!$A$2:$K$1500,B42+2,9),0.001),0)</f>
        <v>16.286999999999999</v>
      </c>
      <c r="H42">
        <f>IF(A42&gt;0,IF(INDEX(original!$P$2:$P$1500,B42+2)=4,INDEX(original!$A$2:$K$1500,B42+2,9),IF(INDEX(original!$P$2:$P$1500,B42+3)=4,INDEX(original!$A$2:$K$1500,B42+3,9),0.0001)),0)</f>
        <v>12.808999999999999</v>
      </c>
      <c r="I42">
        <f>IF(A42&gt;0,IF(INDEX(original!$P$2:$P$1500,B42+2)=3,INDEX(original!$A$2:$K$1500,B42+2,10),0.001),)</f>
        <v>7.4489999999999998</v>
      </c>
      <c r="J42">
        <f>IF(A42&gt;0,IF(INDEX(original!$P$2:$P$1500,B42+2)=4,INDEX(original!$A$2:$K$1500,B42+2,11),IF(INDEX(original!$P$2:$P$1500,B42+3)=4,INDEX(original!$A$2:$K$1500,B42+3,11),0.001)),0)</f>
        <v>-12.872999999999999</v>
      </c>
      <c r="L42" t="s">
        <v>141</v>
      </c>
      <c r="R42">
        <f t="shared" si="3"/>
        <v>16.277255241240667</v>
      </c>
      <c r="S42">
        <f t="shared" si="2"/>
        <v>12.80285011780312</v>
      </c>
      <c r="U42">
        <v>3</v>
      </c>
      <c r="V42">
        <f t="shared" si="80"/>
        <v>4.3824837124691442E-4</v>
      </c>
      <c r="W42">
        <f t="shared" si="78"/>
        <v>3.2936986972117444E-3</v>
      </c>
      <c r="X42">
        <f t="shared" si="81"/>
        <v>3.1181662783841095E-4</v>
      </c>
      <c r="Y42">
        <f t="shared" si="79"/>
        <v>3.1171163553209996E-6</v>
      </c>
      <c r="Z42">
        <f t="shared" si="82"/>
        <v>4.3904238871287811E-3</v>
      </c>
      <c r="AD42" t="str">
        <f t="shared" si="11"/>
        <v>HET6 25+</v>
      </c>
      <c r="AE42">
        <f t="shared" si="12"/>
        <v>16.768269223001653</v>
      </c>
      <c r="AF42">
        <f t="shared" si="13"/>
        <v>13.494621549121513</v>
      </c>
      <c r="AG42">
        <f t="shared" si="14"/>
        <v>6.881478010676199</v>
      </c>
      <c r="AH42">
        <f t="shared" si="15"/>
        <v>-13.289444537769338</v>
      </c>
      <c r="AJ42" t="s">
        <v>131</v>
      </c>
      <c r="AK42">
        <f t="shared" si="83"/>
        <v>0.69799999999999995</v>
      </c>
      <c r="AL42">
        <f t="shared" si="84"/>
        <v>14.536198885451656</v>
      </c>
      <c r="AM42">
        <v>32</v>
      </c>
      <c r="AN42" s="6">
        <f t="shared" si="85"/>
        <v>1.5365777653437764</v>
      </c>
      <c r="AO42" s="7">
        <f t="shared" si="86"/>
        <v>32.250456912694787</v>
      </c>
      <c r="AP42">
        <f>IF(AK42&gt;0,32)</f>
        <v>32</v>
      </c>
      <c r="AR42" t="s">
        <v>193</v>
      </c>
      <c r="AS42">
        <f>SUM(AP40:AP49)</f>
        <v>293.19</v>
      </c>
      <c r="AW42" t="str">
        <f t="shared" si="16"/>
        <v>HET6 25+</v>
      </c>
      <c r="AX42">
        <f t="shared" si="17"/>
        <v>7.835394708594115E-2</v>
      </c>
      <c r="AY42">
        <f>IF(D42&gt;0,IF($M$2=1,($AN$50*AF42/D42-$AN$52)/$AN$51*46.6/(($AN$50*AVERAGE($AM$22:$AM$29)/AVERAGE($AK$22:$AK$29)-$AN$52)/$AN$51),($AN$50*AF42/D42-$AN$52)/$AN$51),0)</f>
        <v>0.763730818524745</v>
      </c>
      <c r="AZ42">
        <f t="shared" si="18"/>
        <v>4.7417320410591293</v>
      </c>
      <c r="BA42">
        <f t="shared" si="19"/>
        <v>-24.990191156251285</v>
      </c>
      <c r="BJ42">
        <f t="shared" si="28"/>
        <v>1</v>
      </c>
      <c r="BK42">
        <f t="shared" si="29"/>
        <v>1</v>
      </c>
    </row>
    <row r="43" spans="1:63" x14ac:dyDescent="0.2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241</v>
      </c>
      <c r="C43" t="str">
        <f>IF(A43&gt;0,INDEX(original!$A$2:$K$1500,B43,2),0)</f>
        <v>HET7 15-25</v>
      </c>
      <c r="D43">
        <f>IF(A43&gt;0,INDEX(original!$A$2:$K$1500,B43,3),0)</f>
        <v>29.51</v>
      </c>
      <c r="E43">
        <f>IF(A43&gt;0,IF(INDEX(original!$P$2:$P$1500,B43+1)=2,INDEX(original!$A$2:$K$1500,B43+1,5),1000000),0)</f>
        <v>5225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4209</v>
      </c>
      <c r="G43">
        <f>IF(A43&gt;0,IF(INDEX(original!$P$2:$P$1500,B43+2)=3,INDEX(original!$A$2:$K$1500,B43+2,9),0.001),0)</f>
        <v>1E-3</v>
      </c>
      <c r="H43">
        <f>IF(A43&gt;0,IF(INDEX(original!$P$2:$P$1500,B43+2)=4,INDEX(original!$A$2:$K$1500,B43+2,9),IF(INDEX(original!$P$2:$P$1500,B43+3)=4,INDEX(original!$A$2:$K$1500,B43+3,9),0.0001)),0)</f>
        <v>1E-4</v>
      </c>
      <c r="I43">
        <f>IF(A43&gt;0,IF(INDEX(original!$P$2:$P$1500,B43+2)=3,INDEX(original!$A$2:$K$1500,B43+2,10),0.001),)</f>
        <v>1E-3</v>
      </c>
      <c r="J43">
        <f>IF(A43&gt;0,IF(INDEX(original!$P$2:$P$1500,B43+2)=4,INDEX(original!$A$2:$K$1500,B43+2,11),IF(INDEX(original!$P$2:$P$1500,B43+3)=4,INDEX(original!$A$2:$K$1500,B43+3,11),0.001)),0)</f>
        <v>1E-3</v>
      </c>
      <c r="L43" t="s">
        <v>142</v>
      </c>
      <c r="R43">
        <f t="shared" si="3"/>
        <v>9.9901913875598096E-4</v>
      </c>
      <c r="S43">
        <f t="shared" si="2"/>
        <v>9.9951987803912267E-5</v>
      </c>
      <c r="U43">
        <v>4</v>
      </c>
      <c r="V43">
        <f t="shared" si="80"/>
        <v>4.2150968921068734E-3</v>
      </c>
      <c r="W43">
        <f t="shared" si="78"/>
        <v>6.6368787203985204E-6</v>
      </c>
      <c r="X43">
        <f t="shared" si="81"/>
        <v>3.0772478656644745E-3</v>
      </c>
      <c r="Y43">
        <f t="shared" si="79"/>
        <v>4.4202896515801752E-3</v>
      </c>
      <c r="Z43">
        <f t="shared" si="82"/>
        <v>1.3342336238902198E-4</v>
      </c>
      <c r="AD43" t="str">
        <f t="shared" si="11"/>
        <v>HET7 15-25</v>
      </c>
      <c r="AE43">
        <f t="shared" si="12"/>
        <v>1.051814488532215E-3</v>
      </c>
      <c r="AF43">
        <f t="shared" si="13"/>
        <v>1.0870235542132303E-4</v>
      </c>
      <c r="AG43">
        <f t="shared" si="14"/>
        <v>-0.8526061842372572</v>
      </c>
      <c r="AH43">
        <f t="shared" si="15"/>
        <v>-0.48031663681090464</v>
      </c>
      <c r="AJ43" t="s">
        <v>132</v>
      </c>
      <c r="AK43">
        <f t="shared" si="83"/>
        <v>0.70099999999999996</v>
      </c>
      <c r="AL43">
        <f t="shared" si="84"/>
        <v>18.256196878692165</v>
      </c>
      <c r="AM43">
        <v>40.200000000000003</v>
      </c>
      <c r="AN43" s="6">
        <f t="shared" si="85"/>
        <v>1.5435964120703967</v>
      </c>
      <c r="AO43" s="7">
        <f t="shared" si="86"/>
        <v>40.33041870583213</v>
      </c>
      <c r="AP43">
        <f>IF(AK43&gt;0,40.2)</f>
        <v>40.200000000000003</v>
      </c>
      <c r="AR43" t="s">
        <v>194</v>
      </c>
      <c r="AS43">
        <f>SUM(AP40*AP40,AP41*AP41,AP42*AP42,AP43*AP43,AP44*AP44,AP45*AP45,AP46*AP46,AP47*AP47,AP48*AP48,AP49*AP49)</f>
        <v>12168.4481</v>
      </c>
      <c r="AW43" t="str">
        <f t="shared" si="16"/>
        <v>HET7 15-25</v>
      </c>
      <c r="AX43">
        <f t="shared" si="17"/>
        <v>-9.8508219156642177E-4</v>
      </c>
      <c r="AY43">
        <f t="shared" si="21"/>
        <v>7.2135232211070058E-2</v>
      </c>
      <c r="AZ43">
        <f t="shared" si="18"/>
        <v>-3.043734936177461</v>
      </c>
      <c r="BA43">
        <f t="shared" si="19"/>
        <v>-12.135721778746216</v>
      </c>
      <c r="BC43" t="s">
        <v>243</v>
      </c>
      <c r="BJ43">
        <f t="shared" si="28"/>
        <v>1</v>
      </c>
      <c r="BK43">
        <f t="shared" si="29"/>
        <v>1</v>
      </c>
    </row>
    <row r="44" spans="1:63" x14ac:dyDescent="0.2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245</v>
      </c>
      <c r="C44" t="str">
        <f>IF(A44&gt;0,INDEX(original!$A$2:$K$1500,B44,2),0)</f>
        <v>HET7 25+</v>
      </c>
      <c r="D44">
        <f>IF(A44&gt;0,INDEX(original!$A$2:$K$1500,B44,3),0)</f>
        <v>30.402000000000001</v>
      </c>
      <c r="E44">
        <f>IF(A44&gt;0,IF(INDEX(original!$P$2:$P$1500,B44+1)=2,INDEX(original!$A$2:$K$1500,B44+1,5),1000000),0)</f>
        <v>5220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4208</v>
      </c>
      <c r="G44">
        <f>IF(A44&gt;0,IF(INDEX(original!$P$2:$P$1500,B44+2)=3,INDEX(original!$A$2:$K$1500,B44+2,9),0.001),0)</f>
        <v>19.135999999999999</v>
      </c>
      <c r="H44">
        <f>IF(A44&gt;0,IF(INDEX(original!$P$2:$P$1500,B44+2)=4,INDEX(original!$A$2:$K$1500,B44+2,9),IF(INDEX(original!$P$2:$P$1500,B44+3)=4,INDEX(original!$A$2:$K$1500,B44+3,9),0.0001)),0)</f>
        <v>20.273</v>
      </c>
      <c r="I44">
        <f>IF(A44&gt;0,IF(INDEX(original!$P$2:$P$1500,B44+2)=3,INDEX(original!$A$2:$K$1500,B44+2,10),0.001),)</f>
        <v>7.04</v>
      </c>
      <c r="J44">
        <f>IF(A44&gt;0,IF(INDEX(original!$P$2:$P$1500,B44+2)=4,INDEX(original!$A$2:$K$1500,B44+2,11),IF(INDEX(original!$P$2:$P$1500,B44+3)=4,INDEX(original!$A$2:$K$1500,B44+3,11),0.001)),0)</f>
        <v>-13.763999999999999</v>
      </c>
      <c r="L44" t="s">
        <v>143</v>
      </c>
      <c r="R44">
        <f t="shared" si="3"/>
        <v>19.135541762452107</v>
      </c>
      <c r="S44">
        <f t="shared" si="2"/>
        <v>20.268081902526934</v>
      </c>
      <c r="U44">
        <v>5</v>
      </c>
      <c r="V44">
        <f t="shared" si="80"/>
        <v>2.7789539969259338E-2</v>
      </c>
      <c r="W44">
        <f t="shared" si="78"/>
        <v>2.390181612916753E-5</v>
      </c>
      <c r="X44">
        <f t="shared" si="81"/>
        <v>4.211840635868624E-4</v>
      </c>
      <c r="Y44">
        <f t="shared" si="79"/>
        <v>4.5139883330096679E-4</v>
      </c>
      <c r="Z44">
        <f t="shared" si="82"/>
        <v>2.0918823336133134</v>
      </c>
      <c r="AD44" t="str">
        <f t="shared" si="11"/>
        <v>HET7 25+</v>
      </c>
      <c r="AE44">
        <f t="shared" si="12"/>
        <v>19.645855127298162</v>
      </c>
      <c r="AF44">
        <f t="shared" si="13"/>
        <v>21.044471563407427</v>
      </c>
      <c r="AG44">
        <f t="shared" si="14"/>
        <v>6.5196964868543796</v>
      </c>
      <c r="AH44">
        <f t="shared" si="15"/>
        <v>-14.142251640951939</v>
      </c>
      <c r="AJ44" t="s">
        <v>103</v>
      </c>
      <c r="AK44">
        <f t="shared" si="83"/>
        <v>0.69899999999999995</v>
      </c>
      <c r="AL44">
        <f t="shared" si="84"/>
        <v>18.486853813865618</v>
      </c>
      <c r="AM44">
        <v>40.799999999999997</v>
      </c>
      <c r="AN44" s="6">
        <f t="shared" si="85"/>
        <v>1.5426746101389011</v>
      </c>
      <c r="AO44" s="7">
        <f t="shared" si="86"/>
        <v>40.956823770793143</v>
      </c>
      <c r="AP44">
        <f>IF(AK44&gt;0,40.8)</f>
        <v>40.799999999999997</v>
      </c>
      <c r="AR44" t="s">
        <v>195</v>
      </c>
      <c r="AS44">
        <f>SUM(AO40*AP40,AO41*AP41,AO42*AP42,AO43*AP43,AO44*AP44,AO45*AP45,AO46*AP46,AO47*AP47,AO48*AP48,AO49*AP49)</f>
        <v>12243.976806525119</v>
      </c>
      <c r="AW44" t="str">
        <f t="shared" si="16"/>
        <v>HET7 25+</v>
      </c>
      <c r="AX44">
        <f t="shared" si="17"/>
        <v>9.0673640677078643E-2</v>
      </c>
      <c r="AY44">
        <f t="shared" si="21"/>
        <v>1.1356199946700793</v>
      </c>
      <c r="AZ44">
        <f t="shared" si="18"/>
        <v>4.3775469564770981</v>
      </c>
      <c r="BA44">
        <f t="shared" si="19"/>
        <v>-25.846017007748898</v>
      </c>
      <c r="BJ44">
        <f t="shared" si="28"/>
        <v>1</v>
      </c>
      <c r="BK44">
        <f t="shared" si="29"/>
        <v>1</v>
      </c>
    </row>
    <row r="45" spans="1:63" x14ac:dyDescent="0.2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251</v>
      </c>
      <c r="C45" t="str">
        <f>IF(A45&gt;0,INDEX(original!$A$2:$K$1500,B45,2),0)</f>
        <v>HET8 15-25</v>
      </c>
      <c r="D45">
        <f>IF(A45&gt;0,INDEX(original!$A$2:$K$1500,B45,3),0)</f>
        <v>30.114999999999998</v>
      </c>
      <c r="E45">
        <f>IF(A45&gt;0,IF(INDEX(original!$P$2:$P$1500,B45+1)=2,INDEX(original!$A$2:$K$1500,B45+1,5),1000000),0)</f>
        <v>5222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4207</v>
      </c>
      <c r="G45">
        <f>IF(A45&gt;0,IF(INDEX(original!$P$2:$P$1500,B45+2)=3,INDEX(original!$A$2:$K$1500,B45+2,9),0.001),0)</f>
        <v>15.451000000000001</v>
      </c>
      <c r="H45">
        <f>IF(A45&gt;0,IF(INDEX(original!$P$2:$P$1500,B45+2)=4,INDEX(original!$A$2:$K$1500,B45+2,9),IF(INDEX(original!$P$2:$P$1500,B45+3)=4,INDEX(original!$A$2:$K$1500,B45+3,9),0.0001)),0)</f>
        <v>13.167</v>
      </c>
      <c r="I45">
        <f>IF(A45&gt;0,IF(INDEX(original!$P$2:$P$1500,B45+2)=3,INDEX(original!$A$2:$K$1500,B45+2,10),0.001),)</f>
        <v>7.782</v>
      </c>
      <c r="J45">
        <f>IF(A45&gt;0,IF(INDEX(original!$P$2:$P$1500,B45+2)=4,INDEX(original!$A$2:$K$1500,B45+2,11),IF(INDEX(original!$P$2:$P$1500,B45+3)=4,INDEX(original!$A$2:$K$1500,B45+3,11),0.001)),0)</f>
        <v>-13.157999999999999</v>
      </c>
      <c r="L45" t="s">
        <v>144</v>
      </c>
      <c r="R45">
        <f t="shared" si="3"/>
        <v>15.444712490425125</v>
      </c>
      <c r="S45">
        <f t="shared" si="2"/>
        <v>13.166934796173047</v>
      </c>
      <c r="U45">
        <v>6</v>
      </c>
      <c r="V45">
        <f t="shared" si="80"/>
        <v>1.1922739569171234E-2</v>
      </c>
      <c r="W45">
        <f t="shared" si="78"/>
        <v>6.1393399949052907E-3</v>
      </c>
      <c r="X45">
        <f t="shared" si="81"/>
        <v>2.3196037786322198E-3</v>
      </c>
      <c r="Y45">
        <f t="shared" si="79"/>
        <v>9.0748562672598828E-5</v>
      </c>
      <c r="Z45">
        <f t="shared" si="82"/>
        <v>13.343266629865115</v>
      </c>
      <c r="AD45" t="str">
        <f t="shared" si="11"/>
        <v>HET8 15-25</v>
      </c>
      <c r="AE45">
        <f t="shared" si="12"/>
        <v>15.926752059583505</v>
      </c>
      <c r="AF45">
        <f t="shared" si="13"/>
        <v>13.86746609439234</v>
      </c>
      <c r="AG45">
        <f t="shared" si="14"/>
        <v>7.2005547963812395</v>
      </c>
      <c r="AH45">
        <f t="shared" si="15"/>
        <v>-13.572588101032602</v>
      </c>
      <c r="AJ45" t="s">
        <v>105</v>
      </c>
      <c r="AK45">
        <f t="shared" si="83"/>
        <v>0.499</v>
      </c>
      <c r="AL45">
        <f t="shared" si="84"/>
        <v>13.476704308429085</v>
      </c>
      <c r="AM45">
        <v>40.799999999999997</v>
      </c>
      <c r="AN45" s="6">
        <f t="shared" si="85"/>
        <v>1.5106957557320757</v>
      </c>
      <c r="AO45" s="7">
        <f t="shared" si="86"/>
        <v>41.823809925591398</v>
      </c>
      <c r="AP45">
        <f>IF(AK45&gt;0,40.8)</f>
        <v>40.799999999999997</v>
      </c>
      <c r="AW45" t="str">
        <f t="shared" si="16"/>
        <v>HET8 15-25</v>
      </c>
      <c r="AX45">
        <f t="shared" si="17"/>
        <v>7.402921692668217E-2</v>
      </c>
      <c r="AY45">
        <f t="shared" si="21"/>
        <v>0.77960597382796981</v>
      </c>
      <c r="AZ45">
        <f t="shared" si="18"/>
        <v>5.0629286708996952</v>
      </c>
      <c r="BA45">
        <f t="shared" si="19"/>
        <v>-25.274336985034285</v>
      </c>
      <c r="BJ45">
        <f t="shared" si="28"/>
        <v>1</v>
      </c>
      <c r="BK45">
        <f t="shared" si="29"/>
        <v>1</v>
      </c>
    </row>
    <row r="46" spans="1:63" x14ac:dyDescent="0.2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257</v>
      </c>
      <c r="C46" t="str">
        <f>IF(A46&gt;0,INDEX(original!$A$2:$K$1500,B46,2),0)</f>
        <v>HET8 25+</v>
      </c>
      <c r="D46">
        <f>IF(A46&gt;0,INDEX(original!$A$2:$K$1500,B46,3),0)</f>
        <v>29.718</v>
      </c>
      <c r="E46">
        <f>IF(A46&gt;0,IF(INDEX(original!$P$2:$P$1500,B46+1)=2,INDEX(original!$A$2:$K$1500,B46+1,5),1000000),0)</f>
        <v>5221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4207</v>
      </c>
      <c r="G46">
        <f>IF(A46&gt;0,IF(INDEX(original!$P$2:$P$1500,B46+2)=3,INDEX(original!$A$2:$K$1500,B46+2,9),0.001),0)</f>
        <v>12.836</v>
      </c>
      <c r="H46">
        <f>IF(A46&gt;0,IF(INDEX(original!$P$2:$P$1500,B46+2)=4,INDEX(original!$A$2:$K$1500,B46+2,9),IF(INDEX(original!$P$2:$P$1500,B46+3)=4,INDEX(original!$A$2:$K$1500,B46+3,9),0.0001)),0)</f>
        <v>13.52</v>
      </c>
      <c r="I46">
        <f>IF(A46&gt;0,IF(INDEX(original!$P$2:$P$1500,B46+2)=3,INDEX(original!$A$2:$K$1500,B46+2,10),0.001),)</f>
        <v>7.6340000000000003</v>
      </c>
      <c r="J46">
        <f>IF(A46&gt;0,IF(INDEX(original!$P$2:$P$1500,B46+2)=4,INDEX(original!$A$2:$K$1500,B46+2,11),IF(INDEX(original!$P$2:$P$1500,B46+3)=4,INDEX(original!$A$2:$K$1500,B46+3,11),0.001)),0)</f>
        <v>-13.48</v>
      </c>
      <c r="R46">
        <f t="shared" si="3"/>
        <v>12.833234150545872</v>
      </c>
      <c r="S46">
        <f t="shared" si="2"/>
        <v>13.519933048094448</v>
      </c>
      <c r="U46">
        <v>7</v>
      </c>
      <c r="V46">
        <f t="shared" si="80"/>
        <v>1.6068293826331279E-2</v>
      </c>
      <c r="W46">
        <f t="shared" si="78"/>
        <v>2.5342360032911348E-3</v>
      </c>
      <c r="X46">
        <f t="shared" si="81"/>
        <v>9.5298268281040447E-4</v>
      </c>
      <c r="Y46">
        <f t="shared" si="79"/>
        <v>1.7001268121690943E-3</v>
      </c>
      <c r="Z46">
        <f t="shared" si="82"/>
        <v>47.235090659078743</v>
      </c>
      <c r="AD46" t="str">
        <f t="shared" si="11"/>
        <v>HET8 25+</v>
      </c>
      <c r="AE46">
        <f t="shared" si="12"/>
        <v>13.276837125844647</v>
      </c>
      <c r="AF46">
        <f t="shared" si="13"/>
        <v>14.228465142212928</v>
      </c>
      <c r="AG46">
        <f t="shared" si="14"/>
        <v>7.0083843589001393</v>
      </c>
      <c r="AH46">
        <f t="shared" si="15"/>
        <v>-13.892787580333168</v>
      </c>
      <c r="AJ46" t="s">
        <v>133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HET8 25+</v>
      </c>
      <c r="AX46">
        <f t="shared" si="17"/>
        <v>6.2382826430611237E-2</v>
      </c>
      <c r="AY46">
        <f t="shared" si="21"/>
        <v>0.80772020283070012</v>
      </c>
      <c r="AZ46">
        <f t="shared" si="18"/>
        <v>4.8694815144808148</v>
      </c>
      <c r="BA46">
        <f t="shared" si="19"/>
        <v>-25.595669899592369</v>
      </c>
      <c r="BJ46">
        <f t="shared" si="28"/>
        <v>1</v>
      </c>
      <c r="BK46">
        <f t="shared" si="29"/>
        <v>1</v>
      </c>
    </row>
    <row r="47" spans="1:63" x14ac:dyDescent="0.2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263</v>
      </c>
      <c r="C47" t="str">
        <f>IF(A47&gt;0,INDEX(original!$A$2:$K$1500,B47,2),0)</f>
        <v>HES5 15-25</v>
      </c>
      <c r="D47">
        <f>IF(A47&gt;0,INDEX(original!$A$2:$K$1500,B47,3),0)</f>
        <v>30.091999999999999</v>
      </c>
      <c r="E47">
        <f>IF(A47&gt;0,IF(INDEX(original!$P$2:$P$1500,B47+1)=2,INDEX(original!$A$2:$K$1500,B47+1,5),1000000),0)</f>
        <v>5223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4206</v>
      </c>
      <c r="G47">
        <f>IF(A47&gt;0,IF(INDEX(original!$P$2:$P$1500,B47+2)=3,INDEX(original!$A$2:$K$1500,B47+2,9),0.001),0)</f>
        <v>18.364999999999998</v>
      </c>
      <c r="H47">
        <f>IF(A47&gt;0,IF(INDEX(original!$P$2:$P$1500,B47+2)=4,INDEX(original!$A$2:$K$1500,B47+2,9),IF(INDEX(original!$P$2:$P$1500,B47+3)=4,INDEX(original!$A$2:$K$1500,B47+3,9),0.0001)),0)</f>
        <v>28.111000000000001</v>
      </c>
      <c r="I47">
        <f>IF(A47&gt;0,IF(INDEX(original!$P$2:$P$1500,B47+2)=3,INDEX(original!$A$2:$K$1500,B47+2,10),0.001),)</f>
        <v>7.7279999999999998</v>
      </c>
      <c r="J47">
        <f>IF(A47&gt;0,IF(INDEX(original!$P$2:$P$1500,B47+2)=4,INDEX(original!$A$2:$K$1500,B47+2,11),IF(INDEX(original!$P$2:$P$1500,B47+3)=4,INDEX(original!$A$2:$K$1500,B47+3,11),0.001)),0)</f>
        <v>-14.734999999999999</v>
      </c>
      <c r="R47">
        <f t="shared" si="3"/>
        <v>18.354011942370285</v>
      </c>
      <c r="S47">
        <f t="shared" si="2"/>
        <v>28.117544306744339</v>
      </c>
      <c r="AD47" t="str">
        <f t="shared" si="11"/>
        <v>HES5 15-25</v>
      </c>
      <c r="AE47">
        <f t="shared" si="12"/>
        <v>18.860780579300283</v>
      </c>
      <c r="AF47">
        <f t="shared" si="13"/>
        <v>28.806312935553077</v>
      </c>
      <c r="AG47">
        <f t="shared" si="14"/>
        <v>7.1948753799088978</v>
      </c>
      <c r="AH47">
        <f t="shared" si="15"/>
        <v>-15.072802003733729</v>
      </c>
      <c r="AJ47" t="s">
        <v>126</v>
      </c>
      <c r="AK47">
        <f>IF(M3=1,AVERAGE(AK22:AK36),IF(M35&gt;0,INDEX(D$2:D$1500,M35),0))</f>
        <v>11.9998</v>
      </c>
      <c r="AL47">
        <f>IF(M3=1,AVERAGE(AM22:AM36),IF(M35&gt;0,INDEX(AE$2:AH$1500,M35,2),0))</f>
        <v>24.78711701381798</v>
      </c>
      <c r="AM47">
        <v>3.35</v>
      </c>
      <c r="AN47" s="6">
        <f t="shared" si="85"/>
        <v>1.6217832020396012</v>
      </c>
      <c r="AO47" s="7">
        <f t="shared" si="86"/>
        <v>3.1988394797635409</v>
      </c>
      <c r="AP47">
        <f>IF(AK47&gt;0,3.35)</f>
        <v>3.35</v>
      </c>
      <c r="AR47" t="s">
        <v>202</v>
      </c>
      <c r="AS47" s="4"/>
      <c r="AW47" t="str">
        <f t="shared" si="16"/>
        <v>HES5 15-25</v>
      </c>
      <c r="AX47">
        <f t="shared" si="17"/>
        <v>8.7917195129979808E-2</v>
      </c>
      <c r="AY47">
        <f t="shared" si="21"/>
        <v>1.5428642547798834</v>
      </c>
      <c r="AZ47">
        <f t="shared" si="18"/>
        <v>5.0572115222003742</v>
      </c>
      <c r="BA47">
        <f t="shared" si="19"/>
        <v>-26.779861312770606</v>
      </c>
      <c r="BJ47">
        <f t="shared" si="28"/>
        <v>1</v>
      </c>
      <c r="BK47">
        <f t="shared" si="29"/>
        <v>1</v>
      </c>
    </row>
    <row r="48" spans="1:63" x14ac:dyDescent="0.2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269</v>
      </c>
      <c r="C48" t="str">
        <f>IF(A48&gt;0,INDEX(original!$A$2:$K$1500,B48,2),0)</f>
        <v>HES5 25+</v>
      </c>
      <c r="D48">
        <f>IF(A48&gt;0,INDEX(original!$A$2:$K$1500,B48,3),0)</f>
        <v>30.337</v>
      </c>
      <c r="E48">
        <f>IF(A48&gt;0,IF(INDEX(original!$P$2:$P$1500,B48+1)=2,INDEX(original!$A$2:$K$1500,B48+1,5),1000000),0)</f>
        <v>5219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4204</v>
      </c>
      <c r="G48">
        <f>IF(A48&gt;0,IF(INDEX(original!$P$2:$P$1500,B48+2)=3,INDEX(original!$A$2:$K$1500,B48+2,9),0.001),0)</f>
        <v>16.236999999999998</v>
      </c>
      <c r="H48">
        <f>IF(A48&gt;0,IF(INDEX(original!$P$2:$P$1500,B48+2)=4,INDEX(original!$A$2:$K$1500,B48+2,9),IF(INDEX(original!$P$2:$P$1500,B48+3)=4,INDEX(original!$A$2:$K$1500,B48+3,9),0.0001)),0)</f>
        <v>14.582000000000001</v>
      </c>
      <c r="I48">
        <f>IF(A48&gt;0,IF(INDEX(original!$P$2:$P$1500,B48+2)=3,INDEX(original!$A$2:$K$1500,B48+2,10),0.001),)</f>
        <v>7.5179999999999998</v>
      </c>
      <c r="J48">
        <f>IF(A48&gt;0,IF(INDEX(original!$P$2:$P$1500,B48+2)=4,INDEX(original!$A$2:$K$1500,B48+2,11),IF(INDEX(original!$P$2:$P$1500,B48+3)=4,INDEX(original!$A$2:$K$1500,B48+3,11),0.001)),0)</f>
        <v>-13.023</v>
      </c>
      <c r="R48">
        <f t="shared" si="3"/>
        <v>16.239722240850735</v>
      </c>
      <c r="S48">
        <f t="shared" si="2"/>
        <v>14.592333541468445</v>
      </c>
      <c r="U48" t="s">
        <v>204</v>
      </c>
      <c r="V48" t="s">
        <v>206</v>
      </c>
      <c r="AD48" t="str">
        <f t="shared" si="11"/>
        <v>HES5 25+</v>
      </c>
      <c r="AE48">
        <f t="shared" si="12"/>
        <v>16.730364909368404</v>
      </c>
      <c r="AF48">
        <f t="shared" si="13"/>
        <v>15.322262057248858</v>
      </c>
      <c r="AG48">
        <f t="shared" si="14"/>
        <v>6.9498519673874624</v>
      </c>
      <c r="AH48">
        <f t="shared" si="15"/>
        <v>-13.430313940237049</v>
      </c>
      <c r="AJ48" t="s">
        <v>125</v>
      </c>
      <c r="AK48">
        <f>IF(M2=1,AVERAGE(AK22:AK36),IF(M36&gt;0,INDEX(D$2:D$1500,M36),0))</f>
        <v>1.998</v>
      </c>
      <c r="AL48">
        <f>IF(M2=1,AVERAGE(AM22:AM36),IF(M36&gt;0,INDEX(AE$2:AH$1500,M36,2),0))</f>
        <v>60.063468613623563</v>
      </c>
      <c r="AM48">
        <v>46.6</v>
      </c>
      <c r="AN48" s="6">
        <f t="shared" si="85"/>
        <v>1.5501402457946223</v>
      </c>
      <c r="AO48" s="7">
        <f t="shared" si="86"/>
        <v>46.553824281538759</v>
      </c>
      <c r="AP48">
        <v>46.6</v>
      </c>
      <c r="AR48" t="s">
        <v>204</v>
      </c>
      <c r="AS48" t="s">
        <v>205</v>
      </c>
      <c r="AT48" t="s">
        <v>206</v>
      </c>
      <c r="AW48" t="str">
        <f t="shared" si="16"/>
        <v>HES5 25+</v>
      </c>
      <c r="AX48">
        <f t="shared" si="17"/>
        <v>7.7237777097472954E-2</v>
      </c>
      <c r="AY48">
        <f t="shared" si="21"/>
        <v>0.84810499685821683</v>
      </c>
      <c r="AZ48">
        <f t="shared" si="18"/>
        <v>4.8105602524753754</v>
      </c>
      <c r="BA48">
        <f t="shared" si="19"/>
        <v>-25.131559205212145</v>
      </c>
      <c r="BJ48">
        <f t="shared" si="28"/>
        <v>1</v>
      </c>
      <c r="BK48">
        <f t="shared" si="29"/>
        <v>1</v>
      </c>
    </row>
    <row r="49" spans="1:63" x14ac:dyDescent="0.2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275</v>
      </c>
      <c r="C49" t="str">
        <f>IF(A49&gt;0,INDEX(original!$A$2:$K$1500,B49,2),0)</f>
        <v>BRS4</v>
      </c>
      <c r="D49">
        <f>IF(A49&gt;0,INDEX(original!$A$2:$K$1500,B49,3),0)</f>
        <v>11.997</v>
      </c>
      <c r="E49">
        <f>IF(A49&gt;0,IF(INDEX(original!$P$2:$P$1500,B49+1)=2,INDEX(original!$A$2:$K$1500,B49+1,5),1000000),0)</f>
        <v>5222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4205</v>
      </c>
      <c r="G49">
        <f>IF(A49&gt;0,IF(INDEX(original!$P$2:$P$1500,B49+2)=3,INDEX(original!$A$2:$K$1500,B49+2,9),0.001),0)</f>
        <v>1E-3</v>
      </c>
      <c r="H49">
        <f>IF(A49&gt;0,IF(INDEX(original!$P$2:$P$1500,B49+2)=4,INDEX(original!$A$2:$K$1500,B49+2,9),IF(INDEX(original!$P$2:$P$1500,B49+3)=4,INDEX(original!$A$2:$K$1500,B49+3,9),0.0001)),0)</f>
        <v>1E-4</v>
      </c>
      <c r="I49">
        <f>IF(A49&gt;0,IF(INDEX(original!$P$2:$P$1500,B49+2)=3,INDEX(original!$A$2:$K$1500,B49+2,10),0.001),)</f>
        <v>1E-3</v>
      </c>
      <c r="J49">
        <f>IF(A49&gt;0,IF(INDEX(original!$P$2:$P$1500,B49+2)=4,INDEX(original!$A$2:$K$1500,B49+2,11),IF(INDEX(original!$P$2:$P$1500,B49+3)=4,INDEX(original!$A$2:$K$1500,B49+3,11),0.001)),0)</f>
        <v>1E-3</v>
      </c>
      <c r="R49">
        <f t="shared" si="3"/>
        <v>9.995930677901188E-4</v>
      </c>
      <c r="S49">
        <f t="shared" si="2"/>
        <v>1.0004706698374952E-4</v>
      </c>
      <c r="U49">
        <v>1</v>
      </c>
      <c r="V49">
        <f>(Z2-AVERAGE(Z$2:Z$8))^2</f>
        <v>0.87130284095638522</v>
      </c>
      <c r="W49">
        <f t="shared" ref="W49:W55" si="87">(W2-AVERAGE(W$2:W$8))^2</f>
        <v>0.55800899999999987</v>
      </c>
      <c r="X49">
        <f t="shared" ref="X49:X55" si="88">(AA2-AVERAGE(AA$2:AA$8))^2</f>
        <v>1.9605309140153711</v>
      </c>
      <c r="Y49">
        <f t="shared" ref="Y49:Y55" si="89">(Y2-AVERAGE(Y$2:Y$8))^2</f>
        <v>0.2460159999999969</v>
      </c>
      <c r="Z49">
        <f>(AA2-AVERAGE(AA$2:AA$8))^2</f>
        <v>1.9605309140153711</v>
      </c>
      <c r="AD49" t="str">
        <f t="shared" si="11"/>
        <v>BRS4</v>
      </c>
      <c r="AE49">
        <f t="shared" si="12"/>
        <v>1.0524187472142244E-3</v>
      </c>
      <c r="AF49">
        <f t="shared" si="13"/>
        <v>1.0880575834710992E-4</v>
      </c>
      <c r="AG49">
        <f t="shared" si="14"/>
        <v>-0.85260617363344426</v>
      </c>
      <c r="AH49">
        <f t="shared" si="15"/>
        <v>-0.48031663633208055</v>
      </c>
      <c r="AJ49" t="s">
        <v>136</v>
      </c>
      <c r="AK49">
        <f>IF(M37&gt;0,INDEX(D$2:D$1500,M37),0)</f>
        <v>2.004</v>
      </c>
      <c r="AL49">
        <f>IF(M37&gt;0,INDEX(AE$2:AH$1500,M37,2),0)</f>
        <v>61.71951054977162</v>
      </c>
      <c r="AM49">
        <v>47.6</v>
      </c>
      <c r="AN49" s="6">
        <f>IF(AK49&gt;0,AM49*AK49/AL49)</f>
        <v>1.5455469291687858</v>
      </c>
      <c r="AO49" s="7">
        <f>IF(AK49&gt;0,$AN$50*AL49/AK49)</f>
        <v>47.694158904189806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0</v>
      </c>
      <c r="AT49">
        <f>IF(AK40&gt;0,(AO40-AVERAGE(AO$40:AO$48))^2,0)</f>
        <v>0</v>
      </c>
      <c r="AW49" t="str">
        <f t="shared" si="16"/>
        <v>BRS4</v>
      </c>
      <c r="AX49">
        <f t="shared" si="17"/>
        <v>-9.7769452964709147E-4</v>
      </c>
      <c r="AY49">
        <f t="shared" si="21"/>
        <v>7.2143506885470193E-2</v>
      </c>
      <c r="AZ49">
        <f t="shared" si="18"/>
        <v>-3.0437349255032</v>
      </c>
      <c r="BA49">
        <f t="shared" si="19"/>
        <v>-12.135721778265697</v>
      </c>
      <c r="BC49" t="s">
        <v>243</v>
      </c>
      <c r="BJ49">
        <f t="shared" si="28"/>
        <v>1</v>
      </c>
      <c r="BK49">
        <f t="shared" si="29"/>
        <v>1</v>
      </c>
    </row>
    <row r="50" spans="1:63" x14ac:dyDescent="0.2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279</v>
      </c>
      <c r="C50" t="str">
        <f>IF(A50&gt;0,INDEX(original!$A$2:$K$1500,B50,2),0)</f>
        <v>HES6 15-25</v>
      </c>
      <c r="D50">
        <f>IF(A50&gt;0,INDEX(original!$A$2:$K$1500,B50,3),0)</f>
        <v>29.988</v>
      </c>
      <c r="E50">
        <f>IF(A50&gt;0,IF(INDEX(original!$P$2:$P$1500,B50+1)=2,INDEX(original!$A$2:$K$1500,B50+1,5),1000000),0)</f>
        <v>5224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4211</v>
      </c>
      <c r="G50">
        <f>IF(A50&gt;0,IF(INDEX(original!$P$2:$P$1500,B50+2)=3,INDEX(original!$A$2:$K$1500,B50+2,9),0.001),0)</f>
        <v>16.353000000000002</v>
      </c>
      <c r="H50">
        <f>IF(A50&gt;0,IF(INDEX(original!$P$2:$P$1500,B50+2)=4,INDEX(original!$A$2:$K$1500,B50+2,9),IF(INDEX(original!$P$2:$P$1500,B50+3)=4,INDEX(original!$A$2:$K$1500,B50+3,9),0.0001)),0)</f>
        <v>16.803000000000001</v>
      </c>
      <c r="I50">
        <f>IF(A50&gt;0,IF(INDEX(original!$P$2:$P$1500,B50+2)=3,INDEX(original!$A$2:$K$1500,B50+2,10),0.001),)</f>
        <v>7.6539999999999999</v>
      </c>
      <c r="J50">
        <f>IF(A50&gt;0,IF(INDEX(original!$P$2:$P$1500,B50+2)=4,INDEX(original!$A$2:$K$1500,B50+2,11),IF(INDEX(original!$P$2:$P$1500,B50+3)=4,INDEX(original!$A$2:$K$1500,B50+3,11),0.001)),0)</f>
        <v>-13.6</v>
      </c>
      <c r="R50">
        <f t="shared" si="3"/>
        <v>16.34008726550536</v>
      </c>
      <c r="S50">
        <f t="shared" si="2"/>
        <v>16.786955815127047</v>
      </c>
      <c r="U50">
        <v>2</v>
      </c>
      <c r="V50">
        <f t="shared" ref="V50:V55" si="91">(Z3-AVERAGE(Z$2:Z$8))^2</f>
        <v>6.4540096012859843E-2</v>
      </c>
      <c r="W50">
        <f t="shared" si="87"/>
        <v>3.7248999999999852E-2</v>
      </c>
      <c r="X50">
        <f t="shared" si="88"/>
        <v>1.7661774277752111E-2</v>
      </c>
      <c r="Y50">
        <f t="shared" si="89"/>
        <v>1.7423999999999443E-2</v>
      </c>
      <c r="Z50">
        <f t="shared" ref="Z50:Z55" si="92">(AA3-AVERAGE(AA$2:AA$8))^2</f>
        <v>1.7661774277752111E-2</v>
      </c>
      <c r="AD50" t="str">
        <f t="shared" si="11"/>
        <v>HES6 15-25</v>
      </c>
      <c r="AE50">
        <f t="shared" si="12"/>
        <v>16.831715858019781</v>
      </c>
      <c r="AF50">
        <f t="shared" si="13"/>
        <v>17.547614667747446</v>
      </c>
      <c r="AG50">
        <f t="shared" si="14"/>
        <v>7.0875256885288573</v>
      </c>
      <c r="AH50">
        <f t="shared" si="15"/>
        <v>-13.996095012277985</v>
      </c>
      <c r="AM50" s="14" t="s">
        <v>185</v>
      </c>
      <c r="AN50" s="6">
        <f>AVERAGE(AN40:AN49)</f>
        <v>1.5486042191945095</v>
      </c>
      <c r="AR50" t="str">
        <f t="shared" si="90"/>
        <v>Sulfanilamide</v>
      </c>
      <c r="AS50">
        <f>IF(AK41&gt;0,(AO41-AP41*AN$51-AN$52)^2,0)</f>
        <v>1.0992373558363162E-3</v>
      </c>
      <c r="AT50">
        <f t="shared" ref="AT50:AT58" si="93">IF(AK41&gt;0,(AO41-AVERAGE(AO$40:AO$48))^2,0)</f>
        <v>46.408168159412213</v>
      </c>
      <c r="AW50" t="str">
        <f t="shared" si="16"/>
        <v>HES6 15-25</v>
      </c>
      <c r="AX50">
        <f t="shared" si="17"/>
        <v>7.8627605107286808E-2</v>
      </c>
      <c r="AY50">
        <f t="shared" si="21"/>
        <v>0.97114739135748906</v>
      </c>
      <c r="AZ50">
        <f t="shared" si="18"/>
        <v>4.9491486337971802</v>
      </c>
      <c r="BA50">
        <f t="shared" si="19"/>
        <v>-25.699343016971728</v>
      </c>
      <c r="BJ50">
        <f t="shared" si="28"/>
        <v>1</v>
      </c>
      <c r="BK50">
        <f t="shared" si="29"/>
        <v>1</v>
      </c>
    </row>
    <row r="51" spans="1:63" x14ac:dyDescent="0.2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285</v>
      </c>
      <c r="C51" t="str">
        <f>IF(A51&gt;0,INDEX(original!$A$2:$K$1500,B51,2),0)</f>
        <v>HES6 25+</v>
      </c>
      <c r="D51">
        <f>IF(A51&gt;0,INDEX(original!$A$2:$K$1500,B51,3),0)</f>
        <v>30.54</v>
      </c>
      <c r="E51">
        <f>IF(A51&gt;0,IF(INDEX(original!$P$2:$P$1500,B51+1)=2,INDEX(original!$A$2:$K$1500,B51+1,5),1000000),0)</f>
        <v>5228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4214</v>
      </c>
      <c r="G51">
        <f>IF(A51&gt;0,IF(INDEX(original!$P$2:$P$1500,B51+2)=3,INDEX(original!$A$2:$K$1500,B51+2,9),0.001),0)</f>
        <v>15.568</v>
      </c>
      <c r="H51">
        <f>IF(A51&gt;0,IF(INDEX(original!$P$2:$P$1500,B51+2)=4,INDEX(original!$A$2:$K$1500,B51+2,9),IF(INDEX(original!$P$2:$P$1500,B51+3)=4,INDEX(original!$A$2:$K$1500,B51+3,9),0.0001)),0)</f>
        <v>11.805999999999999</v>
      </c>
      <c r="I51">
        <f>IF(A51&gt;0,IF(INDEX(original!$P$2:$P$1500,B51+2)=3,INDEX(original!$A$2:$K$1500,B51+2,10),0.001),)</f>
        <v>6.8769999999999998</v>
      </c>
      <c r="J51">
        <f>IF(A51&gt;0,IF(INDEX(original!$P$2:$P$1500,B51+2)=4,INDEX(original!$A$2:$K$1500,B51+2,11),IF(INDEX(original!$P$2:$P$1500,B51+3)=4,INDEX(original!$A$2:$K$1500,B51+3,11),0.001)),0)</f>
        <v>-12.46</v>
      </c>
      <c r="R51">
        <f t="shared" si="3"/>
        <v>15.543805279265493</v>
      </c>
      <c r="S51">
        <f t="shared" si="2"/>
        <v>11.786330337367504</v>
      </c>
      <c r="U51">
        <v>3</v>
      </c>
      <c r="V51">
        <f t="shared" si="91"/>
        <v>0.28715249409916321</v>
      </c>
      <c r="W51">
        <f t="shared" si="87"/>
        <v>0.20070399999999955</v>
      </c>
      <c r="X51">
        <f t="shared" si="88"/>
        <v>0.56005019735674011</v>
      </c>
      <c r="Y51">
        <f t="shared" si="89"/>
        <v>0.11356899999999863</v>
      </c>
      <c r="Z51">
        <f t="shared" si="92"/>
        <v>0.56005019735674011</v>
      </c>
      <c r="AD51" t="str">
        <f t="shared" si="11"/>
        <v>HES6 25+</v>
      </c>
      <c r="AE51">
        <f t="shared" si="12"/>
        <v>16.026994489827846</v>
      </c>
      <c r="AF51">
        <f t="shared" si="13"/>
        <v>12.450857838243854</v>
      </c>
      <c r="AG51">
        <f t="shared" si="14"/>
        <v>6.297216011300991</v>
      </c>
      <c r="AH51">
        <f t="shared" si="15"/>
        <v>-12.881624288473031</v>
      </c>
      <c r="AM51" t="s">
        <v>212</v>
      </c>
      <c r="AN51">
        <f>(AS40*AS44-AS42*AS41)/(AS40*AS43-AS42*AS42)</f>
        <v>1.0079586716852551</v>
      </c>
      <c r="AR51" t="str">
        <f t="shared" si="90"/>
        <v>Glycine</v>
      </c>
      <c r="AS51">
        <f t="shared" ref="AS51:AS55" si="94">IF(AK42&gt;0,(AO42-AP42*AN$51-AN$52)^2,0)</f>
        <v>4.6899277544842416E-3</v>
      </c>
      <c r="AT51">
        <f t="shared" si="93"/>
        <v>9.4287744142880801</v>
      </c>
      <c r="AW51" t="str">
        <f t="shared" si="16"/>
        <v>HES6 25+</v>
      </c>
      <c r="AX51">
        <f t="shared" si="17"/>
        <v>7.3450832868628496E-2</v>
      </c>
      <c r="AY51">
        <f t="shared" si="21"/>
        <v>0.69849525378101296</v>
      </c>
      <c r="AZ51">
        <f t="shared" si="18"/>
        <v>4.1535883917849823</v>
      </c>
      <c r="BA51">
        <f t="shared" si="19"/>
        <v>-24.580927313572847</v>
      </c>
      <c r="BJ51">
        <f t="shared" si="28"/>
        <v>1</v>
      </c>
      <c r="BK51">
        <f t="shared" si="29"/>
        <v>1</v>
      </c>
    </row>
    <row r="52" spans="1:63" x14ac:dyDescent="0.2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291</v>
      </c>
      <c r="C52" t="str">
        <f>IF(A52&gt;0,INDEX(original!$A$2:$K$1500,B52,2),0)</f>
        <v>MKU18 0-5</v>
      </c>
      <c r="D52">
        <f>IF(A52&gt;0,INDEX(original!$A$2:$K$1500,B52,3),0)</f>
        <v>4.0030000000000001</v>
      </c>
      <c r="E52">
        <f>IF(A52&gt;0,IF(INDEX(original!$P$2:$P$1500,B52+1)=2,INDEX(original!$A$2:$K$1500,B52+1,5),1000000),0)</f>
        <v>5229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4214</v>
      </c>
      <c r="G52">
        <f>IF(A52&gt;0,IF(INDEX(original!$P$2:$P$1500,B52+2)=3,INDEX(original!$A$2:$K$1500,B52+2,9),0.001),0)</f>
        <v>37.978000000000002</v>
      </c>
      <c r="H52">
        <f>IF(A52&gt;0,IF(INDEX(original!$P$2:$P$1500,B52+2)=4,INDEX(original!$A$2:$K$1500,B52+2,9),IF(INDEX(original!$P$2:$P$1500,B52+3)=4,INDEX(original!$A$2:$K$1500,B52+3,9),0.0001)),0)</f>
        <v>108.706</v>
      </c>
      <c r="I52">
        <f>IF(A52&gt;0,IF(INDEX(original!$P$2:$P$1500,B52+2)=3,INDEX(original!$A$2:$K$1500,B52+2,10),0.001),)</f>
        <v>3.0059999999999998</v>
      </c>
      <c r="J52">
        <f>IF(A52&gt;0,IF(INDEX(original!$P$2:$P$1500,B52+2)=4,INDEX(original!$A$2:$K$1500,B52+2,11),IF(INDEX(original!$P$2:$P$1500,B52+3)=4,INDEX(original!$A$2:$K$1500,B52+3,11),0.001)),0)</f>
        <v>-18.047000000000001</v>
      </c>
      <c r="R52">
        <f t="shared" si="3"/>
        <v>37.911725521132148</v>
      </c>
      <c r="S52">
        <f t="shared" si="2"/>
        <v>108.52488782431578</v>
      </c>
      <c r="U52">
        <v>4</v>
      </c>
      <c r="V52">
        <f t="shared" si="91"/>
        <v>1.1149527180080129E-2</v>
      </c>
      <c r="W52">
        <f t="shared" si="87"/>
        <v>1.3689999999999941E-3</v>
      </c>
      <c r="X52">
        <f t="shared" si="88"/>
        <v>2.6582746873685309E-2</v>
      </c>
      <c r="Y52">
        <f t="shared" si="89"/>
        <v>4.0000000000012508E-4</v>
      </c>
      <c r="Z52">
        <f t="shared" si="92"/>
        <v>2.6582746873685309E-2</v>
      </c>
      <c r="AD52" t="str">
        <f t="shared" si="11"/>
        <v>MKU18 0-5</v>
      </c>
      <c r="AE52">
        <f t="shared" si="12"/>
        <v>38.177823993484402</v>
      </c>
      <c r="AF52">
        <f t="shared" si="13"/>
        <v>107.13703050444677</v>
      </c>
      <c r="AG52">
        <f t="shared" si="14"/>
        <v>2.7734384868858553</v>
      </c>
      <c r="AH52">
        <f t="shared" si="15"/>
        <v>-17.953271787293126</v>
      </c>
      <c r="AM52" t="s">
        <v>201</v>
      </c>
      <c r="AN52">
        <f>(AS41*AS43-AS42*AS44)/(AS40*AS43-AS42*AS42)</f>
        <v>-7.2703628438390691E-2</v>
      </c>
      <c r="AR52" t="str">
        <f t="shared" si="90"/>
        <v>Methionine</v>
      </c>
      <c r="AS52">
        <f t="shared" si="94"/>
        <v>1.3646040347196135E-2</v>
      </c>
      <c r="AT52">
        <f t="shared" si="93"/>
        <v>25.093395523430104</v>
      </c>
      <c r="AW52" t="str">
        <f t="shared" si="16"/>
        <v>MKU18 0-5</v>
      </c>
      <c r="AX52">
        <f t="shared" si="17"/>
        <v>1.3518751558131246</v>
      </c>
      <c r="AY52">
        <f t="shared" si="21"/>
        <v>41.191999052940211</v>
      </c>
      <c r="AZ52">
        <f t="shared" si="18"/>
        <v>0.60640001626852824</v>
      </c>
      <c r="BA52">
        <f t="shared" si="19"/>
        <v>-29.670527321564418</v>
      </c>
      <c r="BJ52">
        <f t="shared" si="28"/>
        <v>1</v>
      </c>
      <c r="BK52">
        <f t="shared" si="29"/>
        <v>1</v>
      </c>
    </row>
    <row r="53" spans="1:63" x14ac:dyDescent="0.2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297</v>
      </c>
      <c r="C53" t="str">
        <f>IF(A53&gt;0,INDEX(original!$A$2:$K$1500,B53,2),0)</f>
        <v>MKU18 5-15</v>
      </c>
      <c r="D53">
        <f>IF(A53&gt;0,INDEX(original!$A$2:$K$1500,B53,3),0)</f>
        <v>3.9969999999999999</v>
      </c>
      <c r="E53">
        <f>IF(A53&gt;0,IF(INDEX(original!$P$2:$P$1500,B53+1)=2,INDEX(original!$A$2:$K$1500,B53+1,5),1000000),0)</f>
        <v>5225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4212</v>
      </c>
      <c r="G53">
        <f>IF(A53&gt;0,IF(INDEX(original!$P$2:$P$1500,B53+2)=3,INDEX(original!$A$2:$K$1500,B53+2,9),0.001),0)</f>
        <v>13.34</v>
      </c>
      <c r="H53">
        <f>IF(A53&gt;0,IF(INDEX(original!$P$2:$P$1500,B53+2)=4,INDEX(original!$A$2:$K$1500,B53+2,9),IF(INDEX(original!$P$2:$P$1500,B53+3)=4,INDEX(original!$A$2:$K$1500,B53+3,9),0.0001)),0)</f>
        <v>35.262</v>
      </c>
      <c r="I53">
        <f>IF(A53&gt;0,IF(INDEX(original!$P$2:$P$1500,B53+2)=3,INDEX(original!$A$2:$K$1500,B53+2,10),0.001),)</f>
        <v>4.5439999999999996</v>
      </c>
      <c r="J53">
        <f>IF(A53&gt;0,IF(INDEX(original!$P$2:$P$1500,B53+2)=4,INDEX(original!$A$2:$K$1500,B53+2,11),IF(INDEX(original!$P$2:$P$1500,B53+3)=4,INDEX(original!$A$2:$K$1500,B53+3,11),0.001)),0)</f>
        <v>-16.434999999999999</v>
      </c>
      <c r="R53">
        <f t="shared" si="3"/>
        <v>13.326915311004782</v>
      </c>
      <c r="S53">
        <f t="shared" si="2"/>
        <v>35.21996661324787</v>
      </c>
      <c r="U53">
        <v>5</v>
      </c>
      <c r="V53">
        <f t="shared" si="91"/>
        <v>5.6446043669452217E-2</v>
      </c>
      <c r="W53">
        <f t="shared" si="87"/>
        <v>9.0000000000000427E-2</v>
      </c>
      <c r="X53">
        <f t="shared" si="88"/>
        <v>0.20903518525756093</v>
      </c>
      <c r="Y53">
        <f t="shared" si="89"/>
        <v>1.82250000000009E-2</v>
      </c>
      <c r="Z53">
        <f t="shared" si="92"/>
        <v>0.20903518525756093</v>
      </c>
      <c r="AD53" t="str">
        <f t="shared" si="11"/>
        <v>MKU18 5-15</v>
      </c>
      <c r="AE53">
        <f t="shared" si="12"/>
        <v>13.779006168753588</v>
      </c>
      <c r="AF53">
        <f t="shared" si="13"/>
        <v>35.965599425800164</v>
      </c>
      <c r="AG53">
        <f t="shared" si="14"/>
        <v>3.9267922125760739</v>
      </c>
      <c r="AH53">
        <f t="shared" si="15"/>
        <v>-16.735944946260965</v>
      </c>
      <c r="AM53" t="s">
        <v>215</v>
      </c>
      <c r="AN53">
        <f>1-SUM(AS49:AS58)/SUM(AT49:AT58)</f>
        <v>0.99945519735967581</v>
      </c>
      <c r="AR53" t="str">
        <f t="shared" si="90"/>
        <v>USGS-40</v>
      </c>
      <c r="AS53">
        <f t="shared" si="94"/>
        <v>9.0604517971264262E-3</v>
      </c>
      <c r="AT53">
        <f t="shared" si="93"/>
        <v>31.761519256681403</v>
      </c>
      <c r="AW53" t="str">
        <f t="shared" si="16"/>
        <v>MKU18 5-15</v>
      </c>
      <c r="AX53">
        <f t="shared" si="17"/>
        <v>0.48801420980249888</v>
      </c>
      <c r="AY53">
        <f t="shared" si="21"/>
        <v>13.89667523490226</v>
      </c>
      <c r="AZ53">
        <f t="shared" si="18"/>
        <v>1.7674162553132942</v>
      </c>
      <c r="BA53">
        <f t="shared" si="19"/>
        <v>-28.44889141305795</v>
      </c>
      <c r="BJ53">
        <f t="shared" si="28"/>
        <v>1</v>
      </c>
      <c r="BK53">
        <f t="shared" si="29"/>
        <v>1</v>
      </c>
    </row>
    <row r="54" spans="1:63" x14ac:dyDescent="0.2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303</v>
      </c>
      <c r="C54" t="str">
        <f>IF(A54&gt;0,INDEX(original!$A$2:$K$1500,B54,2),0)</f>
        <v>HES7 15-25</v>
      </c>
      <c r="D54">
        <f>IF(A54&gt;0,INDEX(original!$A$2:$K$1500,B54,3),0)</f>
        <v>29.856999999999999</v>
      </c>
      <c r="E54">
        <f>IF(A54&gt;0,IF(INDEX(original!$P$2:$P$1500,B54+1)=2,INDEX(original!$A$2:$K$1500,B54+1,5),1000000),0)</f>
        <v>5226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4210</v>
      </c>
      <c r="G54">
        <f>IF(A54&gt;0,IF(INDEX(original!$P$2:$P$1500,B54+2)=3,INDEX(original!$A$2:$K$1500,B54+2,9),0.001),0)</f>
        <v>13.077999999999999</v>
      </c>
      <c r="H54">
        <f>IF(A54&gt;0,IF(INDEX(original!$P$2:$P$1500,B54+2)=4,INDEX(original!$A$2:$K$1500,B54+2,9),IF(INDEX(original!$P$2:$P$1500,B54+3)=4,INDEX(original!$A$2:$K$1500,B54+3,9),0.0001)),0)</f>
        <v>13.7</v>
      </c>
      <c r="I54">
        <f>IF(A54&gt;0,IF(INDEX(original!$P$2:$P$1500,B54+2)=3,INDEX(original!$A$2:$K$1500,B54+2,10),0.001),)</f>
        <v>7.2720000000000002</v>
      </c>
      <c r="J54">
        <f>IF(A54&gt;0,IF(INDEX(original!$P$2:$P$1500,B54+2)=4,INDEX(original!$A$2:$K$1500,B54+2,11),IF(INDEX(original!$P$2:$P$1500,B54+3)=4,INDEX(original!$A$2:$K$1500,B54+3,11),0.001)),0)</f>
        <v>-13.489000000000001</v>
      </c>
      <c r="R54">
        <f t="shared" si="3"/>
        <v>13.062672263681591</v>
      </c>
      <c r="S54">
        <f t="shared" si="2"/>
        <v>13.690169734758513</v>
      </c>
      <c r="U54">
        <v>6</v>
      </c>
      <c r="V54">
        <f t="shared" si="91"/>
        <v>0.12509388212634376</v>
      </c>
      <c r="W54">
        <f t="shared" si="87"/>
        <v>0.15920100000000037</v>
      </c>
      <c r="X54">
        <f t="shared" si="88"/>
        <v>0.38236380049970992</v>
      </c>
      <c r="Y54">
        <f t="shared" si="89"/>
        <v>0.11560000000000233</v>
      </c>
      <c r="Z54">
        <f t="shared" si="92"/>
        <v>0.38236380049970992</v>
      </c>
      <c r="AD54" t="str">
        <f t="shared" si="11"/>
        <v>HES7 15-25</v>
      </c>
      <c r="AE54">
        <f t="shared" si="12"/>
        <v>13.510292049905948</v>
      </c>
      <c r="AF54">
        <f t="shared" si="13"/>
        <v>14.402388874691976</v>
      </c>
      <c r="AG54">
        <f t="shared" si="14"/>
        <v>6.6502952542376512</v>
      </c>
      <c r="AH54">
        <f t="shared" si="15"/>
        <v>-13.900919046891753</v>
      </c>
      <c r="AR54" t="str">
        <f t="shared" si="90"/>
        <v>USGS-41</v>
      </c>
      <c r="AS54">
        <f t="shared" si="94"/>
        <v>0.59567485297536715</v>
      </c>
      <c r="AT54">
        <f t="shared" si="93"/>
        <v>42.285394262880772</v>
      </c>
      <c r="AW54" t="str">
        <f t="shared" si="16"/>
        <v>HES7 15-25</v>
      </c>
      <c r="AX54">
        <f t="shared" si="17"/>
        <v>6.3196930694694869E-2</v>
      </c>
      <c r="AY54">
        <f t="shared" si="21"/>
        <v>0.8132453819458616</v>
      </c>
      <c r="AZ54">
        <f t="shared" si="18"/>
        <v>4.5090133803103134</v>
      </c>
      <c r="BA54">
        <f t="shared" si="19"/>
        <v>-25.60383014974208</v>
      </c>
      <c r="BJ54">
        <f t="shared" si="28"/>
        <v>1</v>
      </c>
      <c r="BK54">
        <f t="shared" si="29"/>
        <v>1</v>
      </c>
    </row>
    <row r="55" spans="1:63" x14ac:dyDescent="0.2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309</v>
      </c>
      <c r="C55" t="str">
        <f>IF(A55&gt;0,INDEX(original!$A$2:$K$1500,B55,2),0)</f>
        <v>HES7 25+</v>
      </c>
      <c r="D55">
        <f>IF(A55&gt;0,INDEX(original!$A$2:$K$1500,B55,3),0)</f>
        <v>29.99</v>
      </c>
      <c r="E55">
        <f>IF(A55&gt;0,IF(INDEX(original!$P$2:$P$1500,B55+1)=2,INDEX(original!$A$2:$K$1500,B55+1,5),1000000),0)</f>
        <v>5224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4207</v>
      </c>
      <c r="G55">
        <f>IF(A55&gt;0,IF(INDEX(original!$P$2:$P$1500,B55+2)=3,INDEX(original!$A$2:$K$1500,B55+2,9),0.001),0)</f>
        <v>14.515000000000001</v>
      </c>
      <c r="H55">
        <f>IF(A55&gt;0,IF(INDEX(original!$P$2:$P$1500,B55+2)=4,INDEX(original!$A$2:$K$1500,B55+2,9),IF(INDEX(original!$P$2:$P$1500,B55+3)=4,INDEX(original!$A$2:$K$1500,B55+3,9),0.0001)),0)</f>
        <v>12.246</v>
      </c>
      <c r="I55">
        <f>IF(A55&gt;0,IF(INDEX(original!$P$2:$P$1500,B55+2)=3,INDEX(original!$A$2:$K$1500,B55+2,10),0.001),)</f>
        <v>7.4349999999999996</v>
      </c>
      <c r="J55">
        <f>IF(A55&gt;0,IF(INDEX(original!$P$2:$P$1500,B55+2)=4,INDEX(original!$A$2:$K$1500,B55+2,11),IF(INDEX(original!$P$2:$P$1500,B55+3)=4,INDEX(original!$A$2:$K$1500,B55+3,11),0.001)),0)</f>
        <v>-13.048</v>
      </c>
      <c r="R55">
        <f t="shared" si="3"/>
        <v>14.503538595903523</v>
      </c>
      <c r="S55">
        <f t="shared" si="2"/>
        <v>12.245939357024008</v>
      </c>
      <c r="U55">
        <v>7</v>
      </c>
      <c r="V55">
        <f t="shared" si="91"/>
        <v>0.26873183050642274</v>
      </c>
      <c r="W55">
        <f t="shared" si="87"/>
        <v>0.42510400000000015</v>
      </c>
      <c r="X55">
        <f t="shared" si="88"/>
        <v>0.60381519202190537</v>
      </c>
      <c r="Y55">
        <f t="shared" si="89"/>
        <v>0.22090000000000226</v>
      </c>
      <c r="Z55">
        <f t="shared" si="92"/>
        <v>0.60381519202190537</v>
      </c>
      <c r="AD55" t="str">
        <f t="shared" si="11"/>
        <v>HES7 25+</v>
      </c>
      <c r="AE55">
        <f t="shared" si="12"/>
        <v>14.973546997352743</v>
      </c>
      <c r="AF55">
        <f t="shared" si="13"/>
        <v>12.923298674637859</v>
      </c>
      <c r="AG55">
        <f t="shared" si="14"/>
        <v>6.8377226542852707</v>
      </c>
      <c r="AH55">
        <f t="shared" si="15"/>
        <v>-13.467282936742995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HES7 25+</v>
      </c>
      <c r="AX55">
        <f t="shared" si="17"/>
        <v>6.9833331471567867E-2</v>
      </c>
      <c r="AY55">
        <f t="shared" si="21"/>
        <v>0.73418542444984836</v>
      </c>
      <c r="AZ55">
        <f t="shared" si="18"/>
        <v>4.6976859880716493</v>
      </c>
      <c r="BA55">
        <f t="shared" si="19"/>
        <v>-25.168659063779977</v>
      </c>
      <c r="BJ55">
        <f t="shared" si="28"/>
        <v>1</v>
      </c>
      <c r="BK55">
        <f t="shared" si="29"/>
        <v>1</v>
      </c>
    </row>
    <row r="56" spans="1:63" x14ac:dyDescent="0.2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315</v>
      </c>
      <c r="C56" t="str">
        <f>IF(A56&gt;0,INDEX(original!$A$2:$K$1500,B56,2),0)</f>
        <v>MKU19 0-5</v>
      </c>
      <c r="D56">
        <f>IF(A56&gt;0,INDEX(original!$A$2:$K$1500,B56,3),0)</f>
        <v>3.9969999999999999</v>
      </c>
      <c r="E56">
        <f>IF(A56&gt;0,IF(INDEX(original!$P$2:$P$1500,B56+1)=2,INDEX(original!$A$2:$K$1500,B56+1,5),1000000),0)</f>
        <v>5218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4204</v>
      </c>
      <c r="G56">
        <f>IF(A56&gt;0,IF(INDEX(original!$P$2:$P$1500,B56+2)=3,INDEX(original!$A$2:$K$1500,B56+2,9),0.001),0)</f>
        <v>35.652000000000001</v>
      </c>
      <c r="H56">
        <f>IF(A56&gt;0,IF(INDEX(original!$P$2:$P$1500,B56+2)=4,INDEX(original!$A$2:$K$1500,B56+2,9),IF(INDEX(original!$P$2:$P$1500,B56+3)=4,INDEX(original!$A$2:$K$1500,B56+3,9),0.0001)),0)</f>
        <v>99.245999999999995</v>
      </c>
      <c r="I56">
        <f>IF(A56&gt;0,IF(INDEX(original!$P$2:$P$1500,B56+2)=3,INDEX(original!$A$2:$K$1500,B56+2,10),0.001),)</f>
        <v>4.3529999999999998</v>
      </c>
      <c r="J56">
        <f>IF(A56&gt;0,IF(INDEX(original!$P$2:$P$1500,B56+2)=4,INDEX(original!$A$2:$K$1500,B56+2,11),IF(INDEX(original!$P$2:$P$1500,B56+3)=4,INDEX(original!$A$2:$K$1500,B56+3,11),0.001)),0)</f>
        <v>-17.03</v>
      </c>
      <c r="R56">
        <f t="shared" si="3"/>
        <v>35.66481094289</v>
      </c>
      <c r="S56">
        <f t="shared" si="2"/>
        <v>99.316330726688861</v>
      </c>
      <c r="AD56" t="str">
        <f t="shared" si="11"/>
        <v>MKU19 0-5</v>
      </c>
      <c r="AE56">
        <f t="shared" si="12"/>
        <v>35.9885643463696</v>
      </c>
      <c r="AF56">
        <f t="shared" si="13"/>
        <v>98.343561808052058</v>
      </c>
      <c r="AG56">
        <f t="shared" si="14"/>
        <v>4.088056361449615</v>
      </c>
      <c r="AH56">
        <f t="shared" si="15"/>
        <v>-16.987279272051179</v>
      </c>
      <c r="AR56" t="str">
        <f t="shared" si="90"/>
        <v>BRS</v>
      </c>
      <c r="AS56">
        <f>IF(AK47&gt;0,(AO47-AP47*AN$51-AN$52)^2,0)</f>
        <v>1.1049886836665345E-2</v>
      </c>
      <c r="AT56">
        <f t="shared" si="93"/>
        <v>1031.8388409988793</v>
      </c>
      <c r="AW56" t="str">
        <f t="shared" si="16"/>
        <v>MKU19 0-5</v>
      </c>
      <c r="AX56">
        <f t="shared" si="17"/>
        <v>1.2762111509144078</v>
      </c>
      <c r="AY56">
        <f t="shared" si="21"/>
        <v>37.873670002870831</v>
      </c>
      <c r="AZ56">
        <f t="shared" si="18"/>
        <v>1.92975179162577</v>
      </c>
      <c r="BA56">
        <f t="shared" si="19"/>
        <v>-28.70111540671051</v>
      </c>
      <c r="BJ56">
        <f t="shared" si="28"/>
        <v>1</v>
      </c>
      <c r="BK56">
        <f t="shared" si="29"/>
        <v>1</v>
      </c>
    </row>
    <row r="57" spans="1:63" x14ac:dyDescent="0.2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321</v>
      </c>
      <c r="C57" t="str">
        <f>IF(A57&gt;0,INDEX(original!$A$2:$K$1500,B57,2),0)</f>
        <v>MKU19 5-15</v>
      </c>
      <c r="D57">
        <f>IF(A57&gt;0,INDEX(original!$A$2:$K$1500,B57,3),0)</f>
        <v>4.0030000000000001</v>
      </c>
      <c r="E57">
        <f>IF(A57&gt;0,IF(INDEX(original!$P$2:$P$1500,B57+1)=2,INDEX(original!$A$2:$K$1500,B57+1,5),1000000),0)</f>
        <v>5217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4203</v>
      </c>
      <c r="G57">
        <f>IF(A57&gt;0,IF(INDEX(original!$P$2:$P$1500,B57+2)=3,INDEX(original!$A$2:$K$1500,B57+2,9),0.001),0)</f>
        <v>2.2130000000000001</v>
      </c>
      <c r="H57">
        <f>IF(A57&gt;0,IF(INDEX(original!$P$2:$P$1500,B57+2)=4,INDEX(original!$A$2:$K$1500,B57+2,9),IF(INDEX(original!$P$2:$P$1500,B57+3)=4,INDEX(original!$A$2:$K$1500,B57+3,9),0.0001)),0)</f>
        <v>2.504</v>
      </c>
      <c r="I57">
        <f>IF(A57&gt;0,IF(INDEX(original!$P$2:$P$1500,B57+2)=3,INDEX(original!$A$2:$K$1500,B57+2,10),0.001),)</f>
        <v>5.5209999999999999</v>
      </c>
      <c r="J57">
        <f>IF(A57&gt;0,IF(INDEX(original!$P$2:$P$1500,B57+2)=4,INDEX(original!$A$2:$K$1500,B57+2,11),IF(INDEX(original!$P$2:$P$1500,B57+3)=4,INDEX(original!$A$2:$K$1500,B57+3,11),0.001)),0)</f>
        <v>-13.769</v>
      </c>
      <c r="R57">
        <f t="shared" si="3"/>
        <v>2.2142195466743337</v>
      </c>
      <c r="S57">
        <f t="shared" si="2"/>
        <v>2.5063706479498773</v>
      </c>
      <c r="AD57" t="str">
        <f t="shared" si="11"/>
        <v>MKU19 5-15</v>
      </c>
      <c r="AE57">
        <f t="shared" si="12"/>
        <v>2.3237685351846973</v>
      </c>
      <c r="AF57">
        <f t="shared" si="13"/>
        <v>2.7075953903874455</v>
      </c>
      <c r="AG57">
        <f t="shared" si="14"/>
        <v>4.7080143259905647</v>
      </c>
      <c r="AH57">
        <f t="shared" si="15"/>
        <v>-14.23767971638741</v>
      </c>
      <c r="AR57" t="str">
        <f t="shared" si="90"/>
        <v>Peach</v>
      </c>
      <c r="AS57">
        <f>IF(AK48&gt;0,(AO48-AP48*AN$51-AN$52)^2,0)</f>
        <v>0.11857429895024943</v>
      </c>
      <c r="AT57">
        <f t="shared" si="93"/>
        <v>126.17436751671605</v>
      </c>
      <c r="AW57" t="str">
        <f t="shared" si="16"/>
        <v>MKU19 5-15</v>
      </c>
      <c r="AX57">
        <f t="shared" si="17"/>
        <v>8.1354675553987912E-2</v>
      </c>
      <c r="AY57">
        <f t="shared" si="21"/>
        <v>1.1113217973622336</v>
      </c>
      <c r="AZ57">
        <f t="shared" si="18"/>
        <v>2.5538285586439997</v>
      </c>
      <c r="BA57">
        <f t="shared" si="19"/>
        <v>-25.941782877441533</v>
      </c>
      <c r="BJ57">
        <f t="shared" si="28"/>
        <v>1</v>
      </c>
      <c r="BK57">
        <f t="shared" si="29"/>
        <v>1</v>
      </c>
    </row>
    <row r="58" spans="1:63" x14ac:dyDescent="0.2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327</v>
      </c>
      <c r="C58" t="str">
        <f>IF(A58&gt;0,INDEX(original!$A$2:$K$1500,B58,2),0)</f>
        <v>HES8 15-25</v>
      </c>
      <c r="D58">
        <f>IF(A58&gt;0,INDEX(original!$A$2:$K$1500,B58,3),0)</f>
        <v>29.7</v>
      </c>
      <c r="E58">
        <f>IF(A58&gt;0,IF(INDEX(original!$P$2:$P$1500,B58+1)=2,INDEX(original!$A$2:$K$1500,B58+1,5),1000000),0)</f>
        <v>5216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4203</v>
      </c>
      <c r="G58">
        <f>IF(A58&gt;0,IF(INDEX(original!$P$2:$P$1500,B58+2)=3,INDEX(original!$A$2:$K$1500,B58+2,9),0.001),0)</f>
        <v>16.672000000000001</v>
      </c>
      <c r="H58">
        <f>IF(A58&gt;0,IF(INDEX(original!$P$2:$P$1500,B58+2)=4,INDEX(original!$A$2:$K$1500,B58+2,9),IF(INDEX(original!$P$2:$P$1500,B58+3)=4,INDEX(original!$A$2:$K$1500,B58+3,9),0.0001)),0)</f>
        <v>12.691000000000001</v>
      </c>
      <c r="I58">
        <f>IF(A58&gt;0,IF(INDEX(original!$P$2:$P$1500,B58+2)=3,INDEX(original!$A$2:$K$1500,B58+2,10),0.001),)</f>
        <v>7.0620000000000003</v>
      </c>
      <c r="J58">
        <f>IF(A58&gt;0,IF(INDEX(original!$P$2:$P$1500,B58+2)=4,INDEX(original!$A$2:$K$1500,B58+2,11),IF(INDEX(original!$P$2:$P$1500,B58+3)=4,INDEX(original!$A$2:$K$1500,B58+3,11),0.001)),0)</f>
        <v>-12.614000000000001</v>
      </c>
      <c r="R58">
        <f t="shared" si="3"/>
        <v>16.684385736196322</v>
      </c>
      <c r="S58">
        <f t="shared" si="2"/>
        <v>12.703015133039894</v>
      </c>
      <c r="AD58" t="str">
        <f t="shared" si="11"/>
        <v>HES8 15-25</v>
      </c>
      <c r="AE58">
        <f t="shared" si="12"/>
        <v>17.179227437078463</v>
      </c>
      <c r="AF58">
        <f t="shared" si="13"/>
        <v>13.392293573221771</v>
      </c>
      <c r="AG58">
        <f t="shared" si="14"/>
        <v>6.5012588698720215</v>
      </c>
      <c r="AH58">
        <f t="shared" si="15"/>
        <v>-13.030953475737919</v>
      </c>
      <c r="AR58" t="s">
        <v>232</v>
      </c>
      <c r="AS58">
        <f>IF(AK49&gt;0,(AO49-AP49*AN$51-AN$52)^2,0)</f>
        <v>4.4931382471821484E-2</v>
      </c>
      <c r="AT58">
        <f t="shared" si="93"/>
        <v>153.09288706561759</v>
      </c>
      <c r="AW58" t="str">
        <f t="shared" si="16"/>
        <v>HES8 15-25</v>
      </c>
      <c r="AX58">
        <f t="shared" si="17"/>
        <v>8.1059402615948947E-2</v>
      </c>
      <c r="AY58">
        <f t="shared" si="21"/>
        <v>0.76491098109106181</v>
      </c>
      <c r="AZ58">
        <f t="shared" si="18"/>
        <v>4.3589868458631624</v>
      </c>
      <c r="BA58">
        <f t="shared" si="19"/>
        <v>-24.730785093095882</v>
      </c>
      <c r="BJ58">
        <f t="shared" si="28"/>
        <v>1</v>
      </c>
      <c r="BK58">
        <f t="shared" si="29"/>
        <v>1</v>
      </c>
    </row>
    <row r="59" spans="1:63" x14ac:dyDescent="0.2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333</v>
      </c>
      <c r="C59" t="str">
        <f>IF(A59&gt;0,INDEX(original!$A$2:$K$1500,B59,2),0)</f>
        <v>HES8 25+</v>
      </c>
      <c r="D59">
        <f>IF(A59&gt;0,INDEX(original!$A$2:$K$1500,B59,3),0)</f>
        <v>29.957000000000001</v>
      </c>
      <c r="E59">
        <f>IF(A59&gt;0,IF(INDEX(original!$P$2:$P$1500,B59+1)=2,INDEX(original!$A$2:$K$1500,B59+1,5),1000000),0)</f>
        <v>5216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4201</v>
      </c>
      <c r="G59">
        <f>IF(A59&gt;0,IF(INDEX(original!$P$2:$P$1500,B59+2)=3,INDEX(original!$A$2:$K$1500,B59+2,9),0.001),0)</f>
        <v>16.016999999999999</v>
      </c>
      <c r="H59">
        <f>IF(A59&gt;0,IF(INDEX(original!$P$2:$P$1500,B59+2)=4,INDEX(original!$A$2:$K$1500,B59+2,9),IF(INDEX(original!$P$2:$P$1500,B59+3)=4,INDEX(original!$A$2:$K$1500,B59+3,9),0.0001)),0)</f>
        <v>13.132999999999999</v>
      </c>
      <c r="I59">
        <f>IF(A59&gt;0,IF(INDEX(original!$P$2:$P$1500,B59+2)=3,INDEX(original!$A$2:$K$1500,B59+2,10),0.001),)</f>
        <v>7.2560000000000002</v>
      </c>
      <c r="J59">
        <f>IF(A59&gt;0,IF(INDEX(original!$P$2:$P$1500,B59+2)=4,INDEX(original!$A$2:$K$1500,B59+2,11),IF(INDEX(original!$P$2:$P$1500,B59+3)=4,INDEX(original!$A$2:$K$1500,B59+3,11),0.001)),0)</f>
        <v>-12.785</v>
      </c>
      <c r="R59">
        <f t="shared" si="3"/>
        <v>16.028899132476994</v>
      </c>
      <c r="S59">
        <f t="shared" si="2"/>
        <v>13.151691834285486</v>
      </c>
      <c r="AD59" t="str">
        <f t="shared" si="11"/>
        <v>HES8 25+</v>
      </c>
      <c r="AE59">
        <f t="shared" si="12"/>
        <v>16.51739799907212</v>
      </c>
      <c r="AF59">
        <f t="shared" si="13"/>
        <v>13.851866775045734</v>
      </c>
      <c r="AG59">
        <f t="shared" si="14"/>
        <v>6.6843325860001928</v>
      </c>
      <c r="AH59">
        <f t="shared" si="15"/>
        <v>-13.199665836466677</v>
      </c>
      <c r="AW59" t="str">
        <f t="shared" si="16"/>
        <v>HES8 25+</v>
      </c>
      <c r="AX59">
        <f t="shared" si="17"/>
        <v>7.7221663234140356E-2</v>
      </c>
      <c r="AY59">
        <f t="shared" si="21"/>
        <v>0.78253733679996762</v>
      </c>
      <c r="AZ59">
        <f t="shared" si="18"/>
        <v>4.5432768452212331</v>
      </c>
      <c r="BA59">
        <f t="shared" si="19"/>
        <v>-24.900094658224994</v>
      </c>
      <c r="BJ59">
        <f t="shared" si="28"/>
        <v>1</v>
      </c>
      <c r="BK59">
        <f t="shared" si="29"/>
        <v>1</v>
      </c>
    </row>
    <row r="60" spans="1:63" x14ac:dyDescent="0.2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339</v>
      </c>
      <c r="C60" t="str">
        <f>IF(A60&gt;0,INDEX(original!$A$2:$K$1500,B60,2),0)</f>
        <v>MKU20 0-5</v>
      </c>
      <c r="D60">
        <f>IF(A60&gt;0,INDEX(original!$A$2:$K$1500,B60,3),0)</f>
        <v>3.9990000000000001</v>
      </c>
      <c r="E60">
        <f>IF(A60&gt;0,IF(INDEX(original!$P$2:$P$1500,B60+1)=2,INDEX(original!$A$2:$K$1500,B60+1,5),1000000),0)</f>
        <v>5215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4201</v>
      </c>
      <c r="G60">
        <f>IF(A60&gt;0,IF(INDEX(original!$P$2:$P$1500,B60+2)=3,INDEX(original!$A$2:$K$1500,B60+2,9),0.001),0)</f>
        <v>26.170999999999999</v>
      </c>
      <c r="H60">
        <f>IF(A60&gt;0,IF(INDEX(original!$P$2:$P$1500,B60+2)=4,INDEX(original!$A$2:$K$1500,B60+2,9),IF(INDEX(original!$P$2:$P$1500,B60+3)=4,INDEX(original!$A$2:$K$1500,B60+3,9),0.0001)),0)</f>
        <v>73.150000000000006</v>
      </c>
      <c r="I60">
        <f>IF(A60&gt;0,IF(INDEX(original!$P$2:$P$1500,B60+2)=3,INDEX(original!$A$2:$K$1500,B60+2,10),0.001),)</f>
        <v>3.2109999999999999</v>
      </c>
      <c r="J60">
        <f>IF(A60&gt;0,IF(INDEX(original!$P$2:$P$1500,B60+2)=4,INDEX(original!$A$2:$K$1500,B60+2,11),IF(INDEX(original!$P$2:$P$1500,B60+3)=4,INDEX(original!$A$2:$K$1500,B60+3,11),0.001)),0)</f>
        <v>-17.465</v>
      </c>
      <c r="R60">
        <f t="shared" si="3"/>
        <v>26.195464741131349</v>
      </c>
      <c r="S60">
        <f t="shared" si="2"/>
        <v>73.254112364119663</v>
      </c>
      <c r="AD60" t="str">
        <f t="shared" si="11"/>
        <v>MKU20 0-5</v>
      </c>
      <c r="AE60">
        <f t="shared" si="12"/>
        <v>26.683134478275598</v>
      </c>
      <c r="AF60">
        <f t="shared" si="13"/>
        <v>73.297856146207366</v>
      </c>
      <c r="AG60">
        <f t="shared" si="14"/>
        <v>2.803457617866584</v>
      </c>
      <c r="AH60">
        <f t="shared" si="15"/>
        <v>-17.564416508248925</v>
      </c>
      <c r="AW60" t="str">
        <f t="shared" si="16"/>
        <v>MKU20 0-5</v>
      </c>
      <c r="AX60">
        <f t="shared" si="17"/>
        <v>0.94549634285233874</v>
      </c>
      <c r="AY60">
        <f t="shared" si="21"/>
        <v>28.232449264957975</v>
      </c>
      <c r="AZ60">
        <f t="shared" si="18"/>
        <v>0.63661858475650912</v>
      </c>
      <c r="BA60">
        <f t="shared" si="19"/>
        <v>-29.280295580933515</v>
      </c>
      <c r="BJ60">
        <f t="shared" si="28"/>
        <v>1</v>
      </c>
      <c r="BK60">
        <f t="shared" si="29"/>
        <v>1</v>
      </c>
    </row>
    <row r="61" spans="1:63" x14ac:dyDescent="0.2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345</v>
      </c>
      <c r="C61" t="str">
        <f>IF(A61&gt;0,INDEX(original!$A$2:$K$1500,B61,2),0)</f>
        <v>BRS5</v>
      </c>
      <c r="D61">
        <f>IF(A61&gt;0,INDEX(original!$A$2:$K$1500,B61,3),0)</f>
        <v>11.996</v>
      </c>
      <c r="E61">
        <f>IF(A61&gt;0,IF(INDEX(original!$P$2:$P$1500,B61+1)=2,INDEX(original!$A$2:$K$1500,B61+1,5),1000000),0)</f>
        <v>5217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4204</v>
      </c>
      <c r="G61">
        <f>IF(A61&gt;0,IF(INDEX(original!$P$2:$P$1500,B61+2)=3,INDEX(original!$A$2:$K$1500,B61+2,9),0.001),0)</f>
        <v>1E-3</v>
      </c>
      <c r="H61">
        <f>IF(A61&gt;0,IF(INDEX(original!$P$2:$P$1500,B61+2)=4,INDEX(original!$A$2:$K$1500,B61+2,9),IF(INDEX(original!$P$2:$P$1500,B61+3)=4,INDEX(original!$A$2:$K$1500,B61+3,9),0.0001)),0)</f>
        <v>1E-4</v>
      </c>
      <c r="I61">
        <f>IF(A61&gt;0,IF(INDEX(original!$P$2:$P$1500,B61+2)=3,INDEX(original!$A$2:$K$1500,B61+2,10),0.001),)</f>
        <v>1E-3</v>
      </c>
      <c r="J61">
        <f>IF(A61&gt;0,IF(INDEX(original!$P$2:$P$1500,B61+2)=4,INDEX(original!$A$2:$K$1500,B61+2,11),IF(INDEX(original!$P$2:$P$1500,B61+3)=4,INDEX(original!$A$2:$K$1500,B61+3,11),0.001)),0)</f>
        <v>1E-3</v>
      </c>
      <c r="R61">
        <f t="shared" si="3"/>
        <v>1.0005510829978915E-3</v>
      </c>
      <c r="S61">
        <f t="shared" si="2"/>
        <v>1.0007086504915955E-4</v>
      </c>
      <c r="AD61" t="str">
        <f t="shared" si="11"/>
        <v>BRS5</v>
      </c>
      <c r="AE61">
        <f t="shared" si="12"/>
        <v>1.0534273893477626E-3</v>
      </c>
      <c r="AF61">
        <f t="shared" si="13"/>
        <v>1.0883163982394719E-4</v>
      </c>
      <c r="AG61">
        <f t="shared" si="14"/>
        <v>-0.85260615593332201</v>
      </c>
      <c r="AH61">
        <f t="shared" si="15"/>
        <v>-0.48031663621223153</v>
      </c>
      <c r="AW61" t="str">
        <f t="shared" si="16"/>
        <v>BRS5</v>
      </c>
      <c r="AX61">
        <f t="shared" si="17"/>
        <v>-9.7768156538124138E-4</v>
      </c>
      <c r="AY61">
        <f t="shared" si="21"/>
        <v>7.2143511361773466E-2</v>
      </c>
      <c r="AZ61">
        <f t="shared" si="18"/>
        <v>-3.0437349076854838</v>
      </c>
      <c r="BA61">
        <f t="shared" si="19"/>
        <v>-12.135721778145424</v>
      </c>
      <c r="BC61" t="s">
        <v>243</v>
      </c>
      <c r="BJ61">
        <f t="shared" si="28"/>
        <v>1</v>
      </c>
      <c r="BK61">
        <f t="shared" si="29"/>
        <v>1</v>
      </c>
    </row>
    <row r="62" spans="1:63" x14ac:dyDescent="0.2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349</v>
      </c>
      <c r="C62" t="str">
        <f>IF(A62&gt;0,INDEX(original!$A$2:$K$1500,B62,2),0)</f>
        <v>MKU20 5-158</v>
      </c>
      <c r="D62">
        <f>IF(A62&gt;0,INDEX(original!$A$2:$K$1500,B62,3),0)</f>
        <v>3.9969999999999999</v>
      </c>
      <c r="E62">
        <f>IF(A62&gt;0,IF(INDEX(original!$P$2:$P$1500,B62+1)=2,INDEX(original!$A$2:$K$1500,B62+1,5),1000000),0)</f>
        <v>5219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4202</v>
      </c>
      <c r="G62">
        <f>IF(A62&gt;0,IF(INDEX(original!$P$2:$P$1500,B62+2)=3,INDEX(original!$A$2:$K$1500,B62+2,9),0.001),0)</f>
        <v>3.282</v>
      </c>
      <c r="H62">
        <f>IF(A62&gt;0,IF(INDEX(original!$P$2:$P$1500,B62+2)=4,INDEX(original!$A$2:$K$1500,B62+2,9),IF(INDEX(original!$P$2:$P$1500,B62+3)=4,INDEX(original!$A$2:$K$1500,B62+3,9),0.0001)),0)</f>
        <v>6.1070000000000002</v>
      </c>
      <c r="I62">
        <f>IF(A62&gt;0,IF(INDEX(original!$P$2:$P$1500,B62+2)=3,INDEX(original!$A$2:$K$1500,B62+2,10),0.001),)</f>
        <v>4.9550000000000001</v>
      </c>
      <c r="J62">
        <f>IF(A62&gt;0,IF(INDEX(original!$P$2:$P$1500,B62+2)=4,INDEX(original!$A$2:$K$1500,B62+2,11),IF(INDEX(original!$P$2:$P$1500,B62+3)=4,INDEX(original!$A$2:$K$1500,B62+3,11),0.001)),0)</f>
        <v>-15.343999999999999</v>
      </c>
      <c r="R62">
        <f t="shared" si="3"/>
        <v>3.2825502490898639</v>
      </c>
      <c r="S62">
        <f t="shared" si="2"/>
        <v>6.114236499484373</v>
      </c>
      <c r="AD62" t="str">
        <f t="shared" si="11"/>
        <v>MKU20 5-158</v>
      </c>
      <c r="AE62">
        <f t="shared" si="12"/>
        <v>3.4397220650889437</v>
      </c>
      <c r="AF62">
        <f t="shared" si="13"/>
        <v>6.5449806040512089</v>
      </c>
      <c r="AG62">
        <f t="shared" si="14"/>
        <v>4.1614283667905241</v>
      </c>
      <c r="AH62">
        <f t="shared" si="15"/>
        <v>-15.79443502535446</v>
      </c>
      <c r="AW62" t="str">
        <f t="shared" si="16"/>
        <v>MKU20 5-158</v>
      </c>
      <c r="AX62">
        <f t="shared" si="17"/>
        <v>0.12108245732806856</v>
      </c>
      <c r="AY62">
        <f t="shared" si="21"/>
        <v>2.5879053325339574</v>
      </c>
      <c r="AZ62">
        <f t="shared" si="18"/>
        <v>2.0036112571085694</v>
      </c>
      <c r="BA62">
        <f t="shared" si="19"/>
        <v>-27.504048755502446</v>
      </c>
      <c r="BJ62">
        <f t="shared" si="28"/>
        <v>1</v>
      </c>
      <c r="BK62">
        <f t="shared" si="29"/>
        <v>1</v>
      </c>
    </row>
    <row r="63" spans="1:63" x14ac:dyDescent="0.2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355</v>
      </c>
      <c r="C63" t="str">
        <f>IF(A63&gt;0,INDEX(original!$A$2:$K$1500,B63,2),0)</f>
        <v>INU13 15-25</v>
      </c>
      <c r="D63">
        <f>IF(A63&gt;0,INDEX(original!$A$2:$K$1500,B63,3),0)</f>
        <v>30.145</v>
      </c>
      <c r="E63">
        <f>IF(A63&gt;0,IF(INDEX(original!$P$2:$P$1500,B63+1)=2,INDEX(original!$A$2:$K$1500,B63+1,5),1000000),0)</f>
        <v>5222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4208</v>
      </c>
      <c r="G63">
        <f>IF(A63&gt;0,IF(INDEX(original!$P$2:$P$1500,B63+2)=3,INDEX(original!$A$2:$K$1500,B63+2,9),0.001),0)</f>
        <v>47.938000000000002</v>
      </c>
      <c r="H63">
        <f>IF(A63&gt;0,IF(INDEX(original!$P$2:$P$1500,B63+2)=4,INDEX(original!$A$2:$K$1500,B63+2,9),IF(INDEX(original!$P$2:$P$1500,B63+3)=4,INDEX(original!$A$2:$K$1500,B63+3,9),0.0001)),0)</f>
        <v>93.350999999999999</v>
      </c>
      <c r="I63">
        <f>IF(A63&gt;0,IF(INDEX(original!$P$2:$P$1500,B63+2)=3,INDEX(original!$A$2:$K$1500,B63+2,10),0.001),)</f>
        <v>7.2119999999999997</v>
      </c>
      <c r="J63">
        <f>IF(A63&gt;0,IF(INDEX(original!$P$2:$P$1500,B63+2)=4,INDEX(original!$A$2:$K$1500,B63+2,11),IF(INDEX(original!$P$2:$P$1500,B63+3)=4,INDEX(original!$A$2:$K$1500,B63+3,11),0.001)),0)</f>
        <v>-15.625</v>
      </c>
      <c r="R63">
        <f t="shared" si="3"/>
        <v>47.918492483722716</v>
      </c>
      <c r="S63">
        <f t="shared" si="2"/>
        <v>93.328353656725298</v>
      </c>
      <c r="AD63" t="str">
        <f t="shared" si="11"/>
        <v>INU13 15-25</v>
      </c>
      <c r="AE63">
        <f t="shared" si="12"/>
        <v>47.859473794092594</v>
      </c>
      <c r="AF63">
        <f t="shared" si="13"/>
        <v>92.613390861055777</v>
      </c>
      <c r="AG63">
        <f t="shared" si="14"/>
        <v>7.116881099785819</v>
      </c>
      <c r="AH63">
        <f t="shared" si="15"/>
        <v>-15.615227254297169</v>
      </c>
      <c r="AW63" t="str">
        <f t="shared" si="16"/>
        <v>INU13 15-25</v>
      </c>
      <c r="AX63">
        <f t="shared" si="17"/>
        <v>0.22421671673348242</v>
      </c>
      <c r="AY63">
        <f t="shared" si="21"/>
        <v>4.7922840250153618</v>
      </c>
      <c r="AZ63">
        <f t="shared" si="18"/>
        <v>4.9786990730197811</v>
      </c>
      <c r="BA63">
        <f t="shared" si="19"/>
        <v>-27.324206628616157</v>
      </c>
      <c r="BJ63">
        <f t="shared" si="28"/>
        <v>1</v>
      </c>
      <c r="BK63">
        <f t="shared" si="29"/>
        <v>1</v>
      </c>
    </row>
    <row r="64" spans="1:63" x14ac:dyDescent="0.2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361</v>
      </c>
      <c r="C64" t="str">
        <f>IF(A64&gt;0,INDEX(original!$A$2:$K$1500,B64,2),0)</f>
        <v>INU14 15+</v>
      </c>
      <c r="D64">
        <f>IF(A64&gt;0,INDEX(original!$A$2:$K$1500,B64,3),0)</f>
        <v>29.774000000000001</v>
      </c>
      <c r="E64">
        <f>IF(A64&gt;0,IF(INDEX(original!$P$2:$P$1500,B64+1)=2,INDEX(original!$A$2:$K$1500,B64+1,5),1000000),0)</f>
        <v>5225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4211</v>
      </c>
      <c r="G64">
        <f>IF(A64&gt;0,IF(INDEX(original!$P$2:$P$1500,B64+2)=3,INDEX(original!$A$2:$K$1500,B64+2,9),0.001),0)</f>
        <v>91.744</v>
      </c>
      <c r="H64">
        <f>IF(A64&gt;0,IF(INDEX(original!$P$2:$P$1500,B64+2)=4,INDEX(original!$A$2:$K$1500,B64+2,9),IF(INDEX(original!$P$2:$P$1500,B64+3)=4,INDEX(original!$A$2:$K$1500,B64+3,9),0.0001)),0)</f>
        <v>170.43</v>
      </c>
      <c r="I64">
        <f>IF(A64&gt;0,IF(INDEX(original!$P$2:$P$1500,B64+2)=3,INDEX(original!$A$2:$K$1500,B64+2,10),0.001),)</f>
        <v>4.702</v>
      </c>
      <c r="J64">
        <f>IF(A64&gt;0,IF(INDEX(original!$P$2:$P$1500,B64+2)=4,INDEX(original!$A$2:$K$1500,B64+2,11),IF(INDEX(original!$P$2:$P$1500,B64+3)=4,INDEX(original!$A$2:$K$1500,B64+3,11),0.001)),0)</f>
        <v>-16.061</v>
      </c>
      <c r="R64">
        <f t="shared" si="3"/>
        <v>91.654011866028711</v>
      </c>
      <c r="S64">
        <f t="shared" si="2"/>
        <v>170.26726653407744</v>
      </c>
      <c r="AD64" t="str">
        <f t="shared" si="11"/>
        <v>INU14 15+</v>
      </c>
      <c r="AE64">
        <f t="shared" si="12"/>
        <v>89.736422228759608</v>
      </c>
      <c r="AF64">
        <f t="shared" si="13"/>
        <v>166.14508675703624</v>
      </c>
      <c r="AG64">
        <f t="shared" si="14"/>
        <v>5.077756308730935</v>
      </c>
      <c r="AH64">
        <f t="shared" si="15"/>
        <v>-15.614668562226811</v>
      </c>
      <c r="AW64" t="str">
        <f t="shared" si="16"/>
        <v>INU14 15+</v>
      </c>
      <c r="AX64">
        <f t="shared" si="17"/>
        <v>0.42653390201687913</v>
      </c>
      <c r="AY64">
        <f t="shared" si="21"/>
        <v>8.6454297794964106</v>
      </c>
      <c r="AZ64">
        <f t="shared" si="18"/>
        <v>2.9260269888881827</v>
      </c>
      <c r="BA64">
        <f t="shared" si="19"/>
        <v>-27.323645958899576</v>
      </c>
      <c r="BJ64">
        <f t="shared" si="28"/>
        <v>1</v>
      </c>
      <c r="BK64">
        <f t="shared" si="29"/>
        <v>1</v>
      </c>
    </row>
    <row r="65" spans="1:63" x14ac:dyDescent="0.2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367</v>
      </c>
      <c r="C65" t="str">
        <f>IF(A65&gt;0,INDEX(original!$A$2:$K$1500,B65,2),0)</f>
        <v>MKT147 0-5</v>
      </c>
      <c r="D65">
        <f>IF(A65&gt;0,INDEX(original!$A$2:$K$1500,B65,3),0)</f>
        <v>3.9980000000000002</v>
      </c>
      <c r="E65">
        <f>IF(A65&gt;0,IF(INDEX(original!$P$2:$P$1500,B65+1)=2,INDEX(original!$A$2:$K$1500,B65+1,5),1000000),0)</f>
        <v>5228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4212</v>
      </c>
      <c r="G65">
        <f>IF(A65&gt;0,IF(INDEX(original!$P$2:$P$1500,B65+2)=3,INDEX(original!$A$2:$K$1500,B65+2,9),0.001),0)</f>
        <v>44.429000000000002</v>
      </c>
      <c r="H65">
        <f>IF(A65&gt;0,IF(INDEX(original!$P$2:$P$1500,B65+2)=4,INDEX(original!$A$2:$K$1500,B65+2,9),IF(INDEX(original!$P$2:$P$1500,B65+3)=4,INDEX(original!$A$2:$K$1500,B65+3,9),0.0001)),0)</f>
        <v>115.232</v>
      </c>
      <c r="I65">
        <f>IF(A65&gt;0,IF(INDEX(original!$P$2:$P$1500,B65+2)=3,INDEX(original!$A$2:$K$1500,B65+2,10),0.001),)</f>
        <v>2.7029999999999998</v>
      </c>
      <c r="J65">
        <f>IF(A65&gt;0,IF(INDEX(original!$P$2:$P$1500,B65+2)=4,INDEX(original!$A$2:$K$1500,B65+2,11),IF(INDEX(original!$P$2:$P$1500,B65+3)=4,INDEX(original!$A$2:$K$1500,B65+3,11),0.001)),0)</f>
        <v>-17.216999999999999</v>
      </c>
      <c r="R65">
        <f t="shared" si="3"/>
        <v>44.359951487184389</v>
      </c>
      <c r="S65">
        <f t="shared" si="2"/>
        <v>115.09463991769547</v>
      </c>
      <c r="AD65" t="str">
        <f t="shared" si="11"/>
        <v>MKT147 0-5</v>
      </c>
      <c r="AE65">
        <f t="shared" si="12"/>
        <v>44.427950561495472</v>
      </c>
      <c r="AF65">
        <f t="shared" si="13"/>
        <v>113.40114947605858</v>
      </c>
      <c r="AG65">
        <f t="shared" si="14"/>
        <v>2.5602721314315651</v>
      </c>
      <c r="AH65">
        <f t="shared" si="15"/>
        <v>-17.086630101274757</v>
      </c>
      <c r="AW65" t="str">
        <f t="shared" si="16"/>
        <v>MKT147 0-5</v>
      </c>
      <c r="AX65">
        <f t="shared" si="17"/>
        <v>1.5753228880042462</v>
      </c>
      <c r="AY65">
        <f t="shared" si="21"/>
        <v>43.650639820936959</v>
      </c>
      <c r="AZ65">
        <f t="shared" si="18"/>
        <v>0.39181745171114507</v>
      </c>
      <c r="BA65">
        <f t="shared" si="19"/>
        <v>-28.800817915871079</v>
      </c>
      <c r="BJ65">
        <f t="shared" si="28"/>
        <v>1</v>
      </c>
      <c r="BK65">
        <f t="shared" si="29"/>
        <v>1</v>
      </c>
    </row>
    <row r="66" spans="1:63" x14ac:dyDescent="0.2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373</v>
      </c>
      <c r="C66" t="str">
        <f>IF(A66&gt;0,INDEX(original!$A$2:$K$1500,B66,2),0)</f>
        <v>MKT14 5-15</v>
      </c>
      <c r="D66">
        <f>IF(A66&gt;0,INDEX(original!$A$2:$K$1500,B66,3),0)</f>
        <v>4</v>
      </c>
      <c r="E66">
        <f>IF(A66&gt;0,IF(INDEX(original!$P$2:$P$1500,B66+1)=2,INDEX(original!$A$2:$K$1500,B66+1,5),1000000),0)</f>
        <v>5229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4214</v>
      </c>
      <c r="G66">
        <f>IF(A66&gt;0,IF(INDEX(original!$P$2:$P$1500,B66+2)=3,INDEX(original!$A$2:$K$1500,B66+2,9),0.001),0)</f>
        <v>47.003999999999998</v>
      </c>
      <c r="H66">
        <f>IF(A66&gt;0,IF(INDEX(original!$P$2:$P$1500,B66+2)=4,INDEX(original!$A$2:$K$1500,B66+2,9),IF(INDEX(original!$P$2:$P$1500,B66+3)=4,INDEX(original!$A$2:$K$1500,B66+3,9),0.0001)),0)</f>
        <v>94.992999999999995</v>
      </c>
      <c r="I66">
        <f>IF(A66&gt;0,IF(INDEX(original!$P$2:$P$1500,B66+2)=3,INDEX(original!$A$2:$K$1500,B66+2,10),0.001),)</f>
        <v>4.1440000000000001</v>
      </c>
      <c r="J66">
        <f>IF(A66&gt;0,IF(INDEX(original!$P$2:$P$1500,B66+2)=4,INDEX(original!$A$2:$K$1500,B66+2,11),IF(INDEX(original!$P$2:$P$1500,B66+3)=4,INDEX(original!$A$2:$K$1500,B66+3,11),0.001)),0)</f>
        <v>-16.161999999999999</v>
      </c>
      <c r="R66">
        <f t="shared" si="3"/>
        <v>46.921974469305788</v>
      </c>
      <c r="S66">
        <f t="shared" ref="S66:S129" si="95">IF(A66&gt;0,H66*$P$28/F66,0)</f>
        <v>94.834734688933708</v>
      </c>
      <c r="AD66" t="str">
        <f t="shared" si="11"/>
        <v>MKT14 5-15</v>
      </c>
      <c r="AE66">
        <f t="shared" si="12"/>
        <v>46.899636174195294</v>
      </c>
      <c r="AF66">
        <f t="shared" si="13"/>
        <v>94.055992586257403</v>
      </c>
      <c r="AG66">
        <f t="shared" si="14"/>
        <v>4.0356899204460044</v>
      </c>
      <c r="AH66">
        <f t="shared" si="15"/>
        <v>-16.143954950381023</v>
      </c>
      <c r="AW66" t="str">
        <f t="shared" si="16"/>
        <v>MKT14 5-15</v>
      </c>
      <c r="AX66">
        <f t="shared" si="17"/>
        <v>1.662186808694732</v>
      </c>
      <c r="AY66">
        <f t="shared" si="21"/>
        <v>36.198488483001128</v>
      </c>
      <c r="AZ66">
        <f t="shared" si="18"/>
        <v>1.8770374447329403</v>
      </c>
      <c r="BA66">
        <f t="shared" si="19"/>
        <v>-27.854805903672201</v>
      </c>
      <c r="BJ66">
        <f t="shared" si="28"/>
        <v>1</v>
      </c>
      <c r="BK66">
        <f t="shared" si="29"/>
        <v>1</v>
      </c>
    </row>
    <row r="67" spans="1:63" x14ac:dyDescent="0.2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379</v>
      </c>
      <c r="C67" t="str">
        <f>IF(A67&gt;0,INDEX(original!$A$2:$K$1500,B67,2),0)</f>
        <v>INU15 15+</v>
      </c>
      <c r="D67">
        <f>IF(A67&gt;0,INDEX(original!$A$2:$K$1500,B67,3),0)</f>
        <v>30.573</v>
      </c>
      <c r="E67">
        <f>IF(A67&gt;0,IF(INDEX(original!$P$2:$P$1500,B67+1)=2,INDEX(original!$A$2:$K$1500,B67+1,5),1000000),0)</f>
        <v>5231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4213</v>
      </c>
      <c r="G67">
        <f>IF(A67&gt;0,IF(INDEX(original!$P$2:$P$1500,B67+2)=3,INDEX(original!$A$2:$K$1500,B67+2,9),0.001),0)</f>
        <v>1E-3</v>
      </c>
      <c r="H67">
        <f>IF(A67&gt;0,IF(INDEX(original!$P$2:$P$1500,B67+2)=4,INDEX(original!$A$2:$K$1500,B67+2,9),IF(INDEX(original!$P$2:$P$1500,B67+3)=4,INDEX(original!$A$2:$K$1500,B67+3,9),0.0001)),0)</f>
        <v>1E-4</v>
      </c>
      <c r="I67">
        <f>IF(A67&gt;0,IF(INDEX(original!$P$2:$P$1500,B67+2)=3,INDEX(original!$A$2:$K$1500,B67+2,10),0.001),)</f>
        <v>1E-3</v>
      </c>
      <c r="J67">
        <f>IF(A67&gt;0,IF(INDEX(original!$P$2:$P$1500,B67+2)=4,INDEX(original!$A$2:$K$1500,B67+2,11),IF(INDEX(original!$P$2:$P$1500,B67+3)=4,INDEX(original!$A$2:$K$1500,B67+3,11),0.001)),0)</f>
        <v>1E-3</v>
      </c>
      <c r="R67">
        <f t="shared" ref="R67:R130" si="96">IF(A67&gt;0,G67*$O$28/E67,0)</f>
        <v>9.9787325559166505E-4</v>
      </c>
      <c r="S67">
        <f t="shared" si="95"/>
        <v>9.985708916844688E-5</v>
      </c>
      <c r="AD67" t="str">
        <f t="shared" ref="AD67:AD130" si="97">IF(A67&gt;0,C67,0)</f>
        <v>INU15 15+</v>
      </c>
      <c r="AE67">
        <f t="shared" ref="AE67:AE130" si="98">IF(A67&gt;0,(R67)/(R67^2*$V$10+R67*$V$11+$V$12)*$V$14,0)</f>
        <v>1.0506080504341781E-3</v>
      </c>
      <c r="AF67">
        <f t="shared" ref="AF67:AF130" si="99">IF(A67&gt;0,IF(S67&gt;$X$4,(S67)/(S67^2*$X$10+S67*$X$11+$X$12)*$X$14,(S67)/(S67^2*$Z$10+S67*$Z$11+$Z$12)*$Z$14),0)</f>
        <v>1.0859914884568585E-4</v>
      </c>
      <c r="AG67">
        <f t="shared" ref="AG67:AG130" si="100">IF(A67&gt;0,(I67)-(R67^2*$W$10+R67*$W$11+$W$12)+$W$14,0)</f>
        <v>-0.85260620540839582</v>
      </c>
      <c r="AH67">
        <f t="shared" ref="AH67:AH130" si="101">IF(A67&gt;0,(J67)-(S67^2*$Y$10+S67*$Y$11+$Y$12)+$Y$14,0)</f>
        <v>-0.48031663728881924</v>
      </c>
      <c r="AW67" t="str">
        <f t="shared" ref="AW67:AW130" si="102">AD67</f>
        <v>INU15 15+</v>
      </c>
      <c r="AX67">
        <f t="shared" ref="AX67:AX130" si="103">IF(D67&gt;0,IF(($AN$16*AE67/D67-$AN$18)/$AN$17&gt;$AQ$15,($AN$16*AE67/D67-$AN$18)/$AN$17,($AN$16*AE67/D67-$AO$18)/$AO$17),0)</f>
        <v>-9.8526357907245113E-4</v>
      </c>
      <c r="AY67">
        <f t="shared" si="21"/>
        <v>7.213503025294507E-2</v>
      </c>
      <c r="AZ67">
        <f t="shared" ref="AZ67:AZ130" si="104">IF(D67&gt;0,IF(AG67&gt;$AQ$84,(AG67-$AN$84)/$AN$83,(AG67-$AO$84)/$AO$83),0)</f>
        <v>-3.0437349574892543</v>
      </c>
      <c r="BA67">
        <f t="shared" ref="BA67:BA130" si="105">IF(D67&gt;0,IF((AH67-$AN$117)/$AN$116&lt;$AQ$117,(AH67-$AN$117)/$AN$116,(AH67-$AO$117)/$AO$116),0)</f>
        <v>-12.135721779225822</v>
      </c>
      <c r="BC67" t="s">
        <v>243</v>
      </c>
      <c r="BJ67">
        <f t="shared" si="28"/>
        <v>1</v>
      </c>
      <c r="BK67">
        <f t="shared" si="29"/>
        <v>1</v>
      </c>
    </row>
    <row r="68" spans="1:63" x14ac:dyDescent="0.2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383</v>
      </c>
      <c r="C68" t="str">
        <f>IF(A68&gt;0,INDEX(original!$A$2:$K$1500,B68,2),0)</f>
        <v>INU1615-25</v>
      </c>
      <c r="D68">
        <f>IF(A68&gt;0,INDEX(original!$A$2:$K$1500,B68,3),0)</f>
        <v>30.466999999999999</v>
      </c>
      <c r="E68">
        <f>IF(A68&gt;0,IF(INDEX(original!$P$2:$P$1500,B68+1)=2,INDEX(original!$A$2:$K$1500,B68+1,5),1000000),0)</f>
        <v>5227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4214</v>
      </c>
      <c r="G68">
        <f>IF(A68&gt;0,IF(INDEX(original!$P$2:$P$1500,B68+2)=3,INDEX(original!$A$2:$K$1500,B68+2,9),0.001),0)</f>
        <v>14.718</v>
      </c>
      <c r="H68">
        <f>IF(A68&gt;0,IF(INDEX(original!$P$2:$P$1500,B68+2)=4,INDEX(original!$A$2:$K$1500,B68+2,9),IF(INDEX(original!$P$2:$P$1500,B68+3)=4,INDEX(original!$A$2:$K$1500,B68+3,9),0.0001)),0)</f>
        <v>11.483000000000001</v>
      </c>
      <c r="I68">
        <f>IF(A68&gt;0,IF(INDEX(original!$P$2:$P$1500,B68+2)=3,INDEX(original!$A$2:$K$1500,B68+2,10),0.001),)</f>
        <v>7.4889999999999999</v>
      </c>
      <c r="J68">
        <f>IF(A68&gt;0,IF(INDEX(original!$P$2:$P$1500,B68+2)=4,INDEX(original!$A$2:$K$1500,B68+2,11),IF(INDEX(original!$P$2:$P$1500,B68+3)=4,INDEX(original!$A$2:$K$1500,B68+3,11),0.001)),0)</f>
        <v>-12.42</v>
      </c>
      <c r="R68">
        <f t="shared" si="96"/>
        <v>14.697937679357182</v>
      </c>
      <c r="S68">
        <f t="shared" si="95"/>
        <v>11.463868479077679</v>
      </c>
      <c r="AD68" t="str">
        <f t="shared" si="97"/>
        <v>INU1615-25</v>
      </c>
      <c r="AE68">
        <f t="shared" si="98"/>
        <v>15.170597023215846</v>
      </c>
      <c r="AF68">
        <f t="shared" si="99"/>
        <v>12.118879010121558</v>
      </c>
      <c r="AG68">
        <f t="shared" si="100"/>
        <v>6.8950007955950543</v>
      </c>
      <c r="AH68">
        <f t="shared" si="101"/>
        <v>-12.843266371285001</v>
      </c>
      <c r="AW68" t="str">
        <f t="shared" si="102"/>
        <v>INU1615-25</v>
      </c>
      <c r="AX68">
        <f t="shared" si="103"/>
        <v>6.9641935129252514E-2</v>
      </c>
      <c r="AY68">
        <f t="shared" ref="AY68:AY131" si="106">IF(D68&gt;0,IF($M$2=1,($AN$50*AF68/D68-$AN$52)/$AN$51*46.6/(($AN$50*AVERAGE($AM$22:$AM$29)/AVERAGE($AK$22:$AK$29)-$AN$52)/$AN$51),($AN$50*AF68/D68-$AN$52)/$AN$51),0)</f>
        <v>0.68325516311926815</v>
      </c>
      <c r="AZ68">
        <f t="shared" si="104"/>
        <v>4.7553446670369102</v>
      </c>
      <c r="BA68">
        <f t="shared" si="105"/>
        <v>-24.542433617851255</v>
      </c>
      <c r="BJ68">
        <f t="shared" si="28"/>
        <v>1</v>
      </c>
      <c r="BK68">
        <f t="shared" si="29"/>
        <v>1</v>
      </c>
    </row>
    <row r="69" spans="1:63" x14ac:dyDescent="0.2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389</v>
      </c>
      <c r="C69" t="str">
        <f>IF(A69&gt;0,INDEX(original!$A$2:$K$1500,B69,2),0)</f>
        <v>MKT18 0-5</v>
      </c>
      <c r="D69">
        <f>IF(A69&gt;0,INDEX(original!$A$2:$K$1500,B69,3),0)</f>
        <v>4.0030000000000001</v>
      </c>
      <c r="E69">
        <f>IF(A69&gt;0,IF(INDEX(original!$P$2:$P$1500,B69+1)=2,INDEX(original!$A$2:$K$1500,B69+1,5),1000000),0)</f>
        <v>5233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4216</v>
      </c>
      <c r="G69">
        <f>IF(A69&gt;0,IF(INDEX(original!$P$2:$P$1500,B69+2)=3,INDEX(original!$A$2:$K$1500,B69+2,9),0.001),0)</f>
        <v>46.491999999999997</v>
      </c>
      <c r="H69">
        <f>IF(A69&gt;0,IF(INDEX(original!$P$2:$P$1500,B69+2)=4,INDEX(original!$A$2:$K$1500,B69+2,9),IF(INDEX(original!$P$2:$P$1500,B69+3)=4,INDEX(original!$A$2:$K$1500,B69+3,9),0.0001)),0)</f>
        <v>116.88200000000001</v>
      </c>
      <c r="I69">
        <f>IF(A69&gt;0,IF(INDEX(original!$P$2:$P$1500,B69+2)=3,INDEX(original!$A$2:$K$1500,B69+2,10),0.001),)</f>
        <v>3.4249999999999998</v>
      </c>
      <c r="J69">
        <f>IF(A69&gt;0,IF(INDEX(original!$P$2:$P$1500,B69+2)=4,INDEX(original!$A$2:$K$1500,B69+2,11),IF(INDEX(original!$P$2:$P$1500,B69+3)=4,INDEX(original!$A$2:$K$1500,B69+3,11),0.001)),0)</f>
        <v>-17.023</v>
      </c>
      <c r="R69">
        <f t="shared" si="96"/>
        <v>46.375392413529518</v>
      </c>
      <c r="S69">
        <f t="shared" si="95"/>
        <v>116.63191151763127</v>
      </c>
      <c r="AD69" t="str">
        <f t="shared" si="97"/>
        <v>MKT18 0-5</v>
      </c>
      <c r="AE69">
        <f t="shared" si="98"/>
        <v>46.372817554120175</v>
      </c>
      <c r="AF69">
        <f t="shared" si="99"/>
        <v>114.86617156417913</v>
      </c>
      <c r="AG69">
        <f t="shared" si="100"/>
        <v>3.3094080772164522</v>
      </c>
      <c r="AH69">
        <f t="shared" si="101"/>
        <v>-16.884026061472227</v>
      </c>
      <c r="AW69" t="str">
        <f t="shared" si="102"/>
        <v>MKT18 0-5</v>
      </c>
      <c r="AX69">
        <f t="shared" si="103"/>
        <v>1.6422720724600888</v>
      </c>
      <c r="AY69">
        <f t="shared" si="106"/>
        <v>44.15849224463097</v>
      </c>
      <c r="AZ69">
        <f t="shared" si="104"/>
        <v>1.14593041717446</v>
      </c>
      <c r="BA69">
        <f t="shared" si="105"/>
        <v>-28.597496702628643</v>
      </c>
      <c r="BJ69">
        <f t="shared" ref="BJ69:BJ132" si="107">IF(A69&gt;0,IF(OR(G69&lt;G$4*0.9,G69&gt;G$10*1.1),1,0),0)</f>
        <v>1</v>
      </c>
      <c r="BK69">
        <f t="shared" ref="BK69:BK132" si="108">IF(A69&gt;0,IF(OR(H69&lt;H$4*0.9,H69&gt;H$10*1.1),1,0),0)</f>
        <v>1</v>
      </c>
    </row>
    <row r="70" spans="1:63" x14ac:dyDescent="0.2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395</v>
      </c>
      <c r="C70" t="str">
        <f>IF(A70&gt;0,INDEX(original!$A$2:$K$1500,B70,2),0)</f>
        <v>NKT18 5-15</v>
      </c>
      <c r="D70">
        <f>IF(A70&gt;0,INDEX(original!$A$2:$K$1500,B70,3),0)</f>
        <v>4.0019999999999998</v>
      </c>
      <c r="E70">
        <f>IF(A70&gt;0,IF(INDEX(original!$P$2:$P$1500,B70+1)=2,INDEX(original!$A$2:$K$1500,B70+1,5),1000000),0)</f>
        <v>5231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4215</v>
      </c>
      <c r="G70">
        <f>IF(A70&gt;0,IF(INDEX(original!$P$2:$P$1500,B70+2)=3,INDEX(original!$A$2:$K$1500,B70+2,9),0.001),0)</f>
        <v>30.102</v>
      </c>
      <c r="H70">
        <f>IF(A70&gt;0,IF(INDEX(original!$P$2:$P$1500,B70+2)=4,INDEX(original!$A$2:$K$1500,B70+2,9),IF(INDEX(original!$P$2:$P$1500,B70+3)=4,INDEX(original!$A$2:$K$1500,B70+3,9),0.0001)),0)</f>
        <v>64.022000000000006</v>
      </c>
      <c r="I70">
        <f>IF(A70&gt;0,IF(INDEX(original!$P$2:$P$1500,B70+2)=3,INDEX(original!$A$2:$K$1500,B70+2,10),0.001),)</f>
        <v>4.9260000000000002</v>
      </c>
      <c r="J70">
        <f>IF(A70&gt;0,IF(INDEX(original!$P$2:$P$1500,B70+2)=4,INDEX(original!$A$2:$K$1500,B70+2,11),IF(INDEX(original!$P$2:$P$1500,B70+3)=4,INDEX(original!$A$2:$K$1500,B70+3,11),0.001)),0)</f>
        <v>-15.695</v>
      </c>
      <c r="R70">
        <f t="shared" si="96"/>
        <v>30.037980739820302</v>
      </c>
      <c r="S70">
        <f t="shared" si="95"/>
        <v>63.900170867932005</v>
      </c>
      <c r="AD70" t="str">
        <f t="shared" si="97"/>
        <v>NKT18 5-15</v>
      </c>
      <c r="AE70">
        <f t="shared" si="98"/>
        <v>30.475794256753787</v>
      </c>
      <c r="AF70">
        <f t="shared" si="99"/>
        <v>64.222395753913503</v>
      </c>
      <c r="AG70">
        <f t="shared" si="100"/>
        <v>4.5775162899866597</v>
      </c>
      <c r="AH70">
        <f t="shared" si="101"/>
        <v>-15.844628840456089</v>
      </c>
      <c r="AJ70" t="s">
        <v>122</v>
      </c>
      <c r="AK70" t="s">
        <v>178</v>
      </c>
      <c r="AL70" t="s">
        <v>179</v>
      </c>
      <c r="AW70" t="str">
        <f t="shared" si="102"/>
        <v>NKT18 5-15</v>
      </c>
      <c r="AX70">
        <f t="shared" si="103"/>
        <v>1.0792167019080001</v>
      </c>
      <c r="AY70">
        <f t="shared" si="106"/>
        <v>24.727250149349775</v>
      </c>
      <c r="AZ70">
        <f t="shared" si="104"/>
        <v>2.4224635354172253</v>
      </c>
      <c r="BA70">
        <f t="shared" si="105"/>
        <v>-27.554420245595519</v>
      </c>
      <c r="BJ70">
        <f t="shared" si="107"/>
        <v>1</v>
      </c>
      <c r="BK70">
        <f t="shared" si="108"/>
        <v>1</v>
      </c>
    </row>
    <row r="71" spans="1:63" x14ac:dyDescent="0.2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401</v>
      </c>
      <c r="C71" t="str">
        <f>IF(A71&gt;0,INDEX(original!$A$2:$K$1500,B71,2),0)</f>
        <v>INU16 25+</v>
      </c>
      <c r="D71">
        <f>IF(A71&gt;0,INDEX(original!$A$2:$K$1500,B71,3),0)</f>
        <v>30.152000000000001</v>
      </c>
      <c r="E71">
        <f>IF(A71&gt;0,IF(INDEX(original!$P$2:$P$1500,B71+1)=2,INDEX(original!$A$2:$K$1500,B71+1,5),1000000),0)</f>
        <v>5229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4212</v>
      </c>
      <c r="G71">
        <f>IF(A71&gt;0,IF(INDEX(original!$P$2:$P$1500,B71+2)=3,INDEX(original!$A$2:$K$1500,B71+2,9),0.001),0)</f>
        <v>14.97</v>
      </c>
      <c r="H71">
        <f>IF(A71&gt;0,IF(INDEX(original!$P$2:$P$1500,B71+2)=4,INDEX(original!$A$2:$K$1500,B71+2,9),IF(INDEX(original!$P$2:$P$1500,B71+3)=4,INDEX(original!$A$2:$K$1500,B71+3,9),0.0001)),0)</f>
        <v>10.895</v>
      </c>
      <c r="I71">
        <f>IF(A71&gt;0,IF(INDEX(original!$P$2:$P$1500,B71+2)=3,INDEX(original!$A$2:$K$1500,B71+2,10),0.001),)</f>
        <v>7.0659999999999998</v>
      </c>
      <c r="J71">
        <f>IF(A71&gt;0,IF(INDEX(original!$P$2:$P$1500,B71+2)=4,INDEX(original!$A$2:$K$1500,B71+2,11),IF(INDEX(original!$P$2:$P$1500,B71+3)=4,INDEX(original!$A$2:$K$1500,B71+3,11),0.001)),0)</f>
        <v>-12.090999999999999</v>
      </c>
      <c r="R71">
        <f t="shared" si="96"/>
        <v>14.943876219162362</v>
      </c>
      <c r="S71">
        <f t="shared" si="95"/>
        <v>10.882012825459007</v>
      </c>
      <c r="AD71" t="str">
        <f t="shared" si="97"/>
        <v>INU16 25+</v>
      </c>
      <c r="AE71">
        <f t="shared" si="98"/>
        <v>15.41976510722875</v>
      </c>
      <c r="AF71">
        <f t="shared" si="99"/>
        <v>11.518760898556677</v>
      </c>
      <c r="AG71">
        <f t="shared" si="100"/>
        <v>6.4761420620879493</v>
      </c>
      <c r="AH71">
        <f t="shared" si="101"/>
        <v>-12.51722809975997</v>
      </c>
      <c r="AJ71" s="3" t="s">
        <v>181</v>
      </c>
      <c r="AK71" s="3" t="s">
        <v>233</v>
      </c>
      <c r="AL71" s="3" t="s">
        <v>234</v>
      </c>
      <c r="AS71" s="4" t="s">
        <v>235</v>
      </c>
      <c r="AT71" s="4" t="s">
        <v>236</v>
      </c>
      <c r="AW71" t="str">
        <f t="shared" si="102"/>
        <v>INU16 25+</v>
      </c>
      <c r="AX71">
        <f t="shared" si="103"/>
        <v>7.155204278412565E-2</v>
      </c>
      <c r="AY71">
        <f t="shared" si="106"/>
        <v>0.6590609828397801</v>
      </c>
      <c r="AZ71">
        <f t="shared" si="104"/>
        <v>4.3337031700395787</v>
      </c>
      <c r="BA71">
        <f t="shared" si="105"/>
        <v>-24.215241243037074</v>
      </c>
      <c r="BJ71">
        <f t="shared" si="107"/>
        <v>1</v>
      </c>
      <c r="BK71">
        <f t="shared" si="108"/>
        <v>1</v>
      </c>
    </row>
    <row r="72" spans="1:63" x14ac:dyDescent="0.2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407</v>
      </c>
      <c r="C72" t="str">
        <f>IF(A72&gt;0,INDEX(original!$A$2:$K$1500,B72,2),0)</f>
        <v>INT13 15-25</v>
      </c>
      <c r="D72">
        <f>IF(A72&gt;0,INDEX(original!$A$2:$K$1500,B72,3),0)</f>
        <v>29.901</v>
      </c>
      <c r="E72">
        <f>IF(A72&gt;0,IF(INDEX(original!$P$2:$P$1500,B72+1)=2,INDEX(original!$A$2:$K$1500,B72+1,5),1000000),0)</f>
        <v>5228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4212</v>
      </c>
      <c r="G72">
        <f>IF(A72&gt;0,IF(INDEX(original!$P$2:$P$1500,B72+2)=3,INDEX(original!$A$2:$K$1500,B72+2,9),0.001),0)</f>
        <v>147.804</v>
      </c>
      <c r="H72">
        <f>IF(A72&gt;0,IF(INDEX(original!$P$2:$P$1500,B72+2)=4,INDEX(original!$A$2:$K$1500,B72+2,9),IF(INDEX(original!$P$2:$P$1500,B72+3)=4,INDEX(original!$A$2:$K$1500,B72+3,9),0.0001)),0)</f>
        <v>262.48899999999998</v>
      </c>
      <c r="I72">
        <f>IF(A72&gt;0,IF(INDEX(original!$P$2:$P$1500,B72+2)=3,INDEX(original!$A$2:$K$1500,B72+2,10),0.001),)</f>
        <v>4.5739999999999998</v>
      </c>
      <c r="J72">
        <f>IF(A72&gt;0,IF(INDEX(original!$P$2:$P$1500,B72+2)=4,INDEX(original!$A$2:$K$1500,B72+2,11),IF(INDEX(original!$P$2:$P$1500,B72+3)=4,INDEX(original!$A$2:$K$1500,B72+3,11),0.001)),0)</f>
        <v>-16.867000000000001</v>
      </c>
      <c r="R72">
        <f t="shared" si="96"/>
        <v>147.57429313312932</v>
      </c>
      <c r="S72">
        <f t="shared" si="95"/>
        <v>262.17610505203385</v>
      </c>
      <c r="AD72" t="str">
        <f t="shared" si="97"/>
        <v>INT13 15-25</v>
      </c>
      <c r="AE72">
        <f t="shared" si="98"/>
        <v>146.13461503255363</v>
      </c>
      <c r="AF72">
        <f t="shared" si="99"/>
        <v>258.43185780520542</v>
      </c>
      <c r="AG72">
        <f t="shared" si="100"/>
        <v>5.2439963786488564</v>
      </c>
      <c r="AH72">
        <f t="shared" si="101"/>
        <v>-15.861605874413687</v>
      </c>
      <c r="AJ72" t="s">
        <v>103</v>
      </c>
      <c r="AK72">
        <f>IF(M32&gt;0,INDEX($AE$2:$AH$1500,M32,3))</f>
        <v>-2.3534595009789783</v>
      </c>
      <c r="AL72">
        <f>IF(M32&gt;0,-4.5)</f>
        <v>-4.5</v>
      </c>
      <c r="AR72" t="s">
        <v>190</v>
      </c>
      <c r="AS72">
        <f>COUNT(AK72:AK81)</f>
        <v>3</v>
      </c>
      <c r="AT72">
        <f>COUNT(AK72:AK77,AK79)</f>
        <v>3</v>
      </c>
      <c r="AW72" t="str">
        <f t="shared" si="102"/>
        <v>INT13 15-25</v>
      </c>
      <c r="AX72">
        <f t="shared" si="103"/>
        <v>0.69227021040040004</v>
      </c>
      <c r="AY72">
        <f t="shared" si="106"/>
        <v>13.350905708848392</v>
      </c>
      <c r="AZ72">
        <f t="shared" si="104"/>
        <v>3.0933715046733461</v>
      </c>
      <c r="BA72">
        <f t="shared" si="105"/>
        <v>-27.571457374494241</v>
      </c>
      <c r="BJ72">
        <f t="shared" si="107"/>
        <v>1</v>
      </c>
      <c r="BK72">
        <f t="shared" si="108"/>
        <v>1</v>
      </c>
    </row>
    <row r="73" spans="1:63" x14ac:dyDescent="0.2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413</v>
      </c>
      <c r="C73" t="str">
        <f>IF(A73&gt;0,INDEX(original!$A$2:$K$1500,B73,2),0)</f>
        <v>BRS6</v>
      </c>
      <c r="D73">
        <f>IF(A73&gt;0,INDEX(original!$A$2:$K$1500,B73,3),0)</f>
        <v>11.996</v>
      </c>
      <c r="E73">
        <f>IF(A73&gt;0,IF(INDEX(original!$P$2:$P$1500,B73+1)=2,INDEX(original!$A$2:$K$1500,B73+1,5),1000000),0)</f>
        <v>5229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4214</v>
      </c>
      <c r="G73">
        <f>IF(A73&gt;0,IF(INDEX(original!$P$2:$P$1500,B73+2)=3,INDEX(original!$A$2:$K$1500,B73+2,9),0.001),0)</f>
        <v>16.088000000000001</v>
      </c>
      <c r="H73">
        <f>IF(A73&gt;0,IF(INDEX(original!$P$2:$P$1500,B73+2)=4,INDEX(original!$A$2:$K$1500,B73+2,9),IF(INDEX(original!$P$2:$P$1500,B73+3)=4,INDEX(original!$A$2:$K$1500,B73+3,9),0.0001)),0)</f>
        <v>24.001000000000001</v>
      </c>
      <c r="I73">
        <f>IF(A73&gt;0,IF(INDEX(original!$P$2:$P$1500,B73+2)=3,INDEX(original!$A$2:$K$1500,B73+2,10),0.001),)</f>
        <v>4.9729999999999999</v>
      </c>
      <c r="J73">
        <f>IF(A73&gt;0,IF(INDEX(original!$P$2:$P$1500,B73+2)=4,INDEX(original!$A$2:$K$1500,B73+2,11),IF(INDEX(original!$P$2:$P$1500,B73+3)=4,INDEX(original!$A$2:$K$1500,B73+3,11),0.001)),0)</f>
        <v>-7.1849999999999996</v>
      </c>
      <c r="R73">
        <f t="shared" si="96"/>
        <v>16.059925224708358</v>
      </c>
      <c r="S73">
        <f t="shared" si="95"/>
        <v>23.961012572180035</v>
      </c>
      <c r="AD73" t="str">
        <f t="shared" si="97"/>
        <v>BRS6</v>
      </c>
      <c r="AE73">
        <f t="shared" si="98"/>
        <v>16.548745790677032</v>
      </c>
      <c r="AF73">
        <f t="shared" si="99"/>
        <v>24.715154720210244</v>
      </c>
      <c r="AG73">
        <f t="shared" si="100"/>
        <v>4.4018508290603</v>
      </c>
      <c r="AH73">
        <f t="shared" si="101"/>
        <v>-7.5442584851634491</v>
      </c>
      <c r="AJ73" t="s">
        <v>105</v>
      </c>
      <c r="AK73">
        <f>IF(M33&gt;0,INDEX($AE$2:$AH$1500,M33,3))</f>
        <v>49.41953184814637</v>
      </c>
      <c r="AL73">
        <f>IF(M33&gt;0,47.57)</f>
        <v>47.57</v>
      </c>
      <c r="AR73" t="s">
        <v>192</v>
      </c>
      <c r="AS73" s="8">
        <f>SUM(AK72:AK81)</f>
        <v>51.156525330875475</v>
      </c>
      <c r="AT73" s="8">
        <f>SUM(AK72:AK77,AK79)</f>
        <v>51.156525330875475</v>
      </c>
      <c r="AW73" t="str">
        <f t="shared" si="102"/>
        <v>BRS6</v>
      </c>
      <c r="AX73">
        <f t="shared" si="103"/>
        <v>0.19469489132650172</v>
      </c>
      <c r="AY73">
        <f t="shared" si="106"/>
        <v>3.2375003535000291</v>
      </c>
      <c r="AZ73">
        <f t="shared" si="104"/>
        <v>2.2456310093396472</v>
      </c>
      <c r="BA73">
        <f t="shared" si="105"/>
        <v>-19.224668417129777</v>
      </c>
      <c r="BJ73">
        <f t="shared" si="107"/>
        <v>1</v>
      </c>
      <c r="BK73">
        <f t="shared" si="108"/>
        <v>1</v>
      </c>
    </row>
    <row r="74" spans="1:63" x14ac:dyDescent="0.2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419</v>
      </c>
      <c r="C74" t="str">
        <f>IF(A74&gt;0,INDEX(original!$A$2:$K$1500,B74,2),0)</f>
        <v>MKT19 0-5</v>
      </c>
      <c r="D74">
        <f>IF(A74&gt;0,INDEX(original!$A$2:$K$1500,B74,3),0)</f>
        <v>3.9990000000000001</v>
      </c>
      <c r="E74">
        <f>IF(A74&gt;0,IF(INDEX(original!$P$2:$P$1500,B74+1)=2,INDEX(original!$A$2:$K$1500,B74+1,5),1000000),0)</f>
        <v>5223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4211</v>
      </c>
      <c r="G74">
        <f>IF(A74&gt;0,IF(INDEX(original!$P$2:$P$1500,B74+2)=3,INDEX(original!$A$2:$K$1500,B74+2,9),0.001),0)</f>
        <v>34.948</v>
      </c>
      <c r="H74">
        <f>IF(A74&gt;0,IF(INDEX(original!$P$2:$P$1500,B74+2)=4,INDEX(original!$A$2:$K$1500,B74+2,9),IF(INDEX(original!$P$2:$P$1500,B74+3)=4,INDEX(original!$A$2:$K$1500,B74+3,9),0.0001)),0)</f>
        <v>103.751</v>
      </c>
      <c r="I74">
        <f>IF(A74&gt;0,IF(INDEX(original!$P$2:$P$1500,B74+2)=3,INDEX(original!$A$2:$K$1500,B74+2,10),0.001),)</f>
        <v>1.3109999999999999</v>
      </c>
      <c r="J74">
        <f>IF(A74&gt;0,IF(INDEX(original!$P$2:$P$1500,B74+2)=4,INDEX(original!$A$2:$K$1500,B74+2,11),IF(INDEX(original!$P$2:$P$1500,B74+3)=4,INDEX(original!$A$2:$K$1500,B74+3,11),0.001)),0)</f>
        <v>-18.684000000000001</v>
      </c>
      <c r="R74">
        <f t="shared" si="96"/>
        <v>34.927090082328164</v>
      </c>
      <c r="S74">
        <f t="shared" si="95"/>
        <v>103.65193434358427</v>
      </c>
      <c r="AD74" t="str">
        <f t="shared" si="97"/>
        <v>MKT19 0-5</v>
      </c>
      <c r="AE74">
        <f t="shared" si="98"/>
        <v>35.268344119727942</v>
      </c>
      <c r="AF74">
        <f t="shared" si="99"/>
        <v>102.48612574452154</v>
      </c>
      <c r="AG74">
        <f t="shared" si="100"/>
        <v>1.0353028406950706</v>
      </c>
      <c r="AH74">
        <f t="shared" si="101"/>
        <v>-18.617314896649823</v>
      </c>
      <c r="AJ74" t="s">
        <v>133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193</v>
      </c>
      <c r="AS74">
        <f>SUM(AL72:AL81)</f>
        <v>44.94</v>
      </c>
      <c r="AT74">
        <f>SUM(AL72:AL77,AL79)</f>
        <v>44.94</v>
      </c>
      <c r="AW74" t="str">
        <f t="shared" si="102"/>
        <v>MKT19 0-5</v>
      </c>
      <c r="AX74">
        <f t="shared" si="103"/>
        <v>1.25002521551396</v>
      </c>
      <c r="AY74">
        <f t="shared" si="106"/>
        <v>39.446297068479495</v>
      </c>
      <c r="AZ74">
        <f t="shared" si="104"/>
        <v>-1.1432832473654488</v>
      </c>
      <c r="BA74">
        <f t="shared" si="105"/>
        <v>-30.336920996494481</v>
      </c>
      <c r="BJ74">
        <f t="shared" si="107"/>
        <v>1</v>
      </c>
      <c r="BK74">
        <f t="shared" si="108"/>
        <v>1</v>
      </c>
    </row>
    <row r="75" spans="1:63" x14ac:dyDescent="0.2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425</v>
      </c>
      <c r="C75" t="str">
        <f>IF(A75&gt;0,INDEX(original!$A$2:$K$1500,B75,2),0)</f>
        <v>MKT19 5-15</v>
      </c>
      <c r="D75">
        <f>IF(A75&gt;0,INDEX(original!$A$2:$K$1500,B75,3),0)</f>
        <v>3.9990000000000001</v>
      </c>
      <c r="E75">
        <f>IF(A75&gt;0,IF(INDEX(original!$P$2:$P$1500,B75+1)=2,INDEX(original!$A$2:$K$1500,B75+1,5),1000000),0)</f>
        <v>5223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4210</v>
      </c>
      <c r="G75">
        <f>IF(A75&gt;0,IF(INDEX(original!$P$2:$P$1500,B75+2)=3,INDEX(original!$A$2:$K$1500,B75+2,9),0.001),0)</f>
        <v>29.812000000000001</v>
      </c>
      <c r="H75">
        <f>IF(A75&gt;0,IF(INDEX(original!$P$2:$P$1500,B75+2)=4,INDEX(original!$A$2:$K$1500,B75+2,9),IF(INDEX(original!$P$2:$P$1500,B75+3)=4,INDEX(original!$A$2:$K$1500,B75+3,9),0.0001)),0)</f>
        <v>116.386</v>
      </c>
      <c r="I75">
        <f>IF(A75&gt;0,IF(INDEX(original!$P$2:$P$1500,B75+2)=3,INDEX(original!$A$2:$K$1500,B75+2,10),0.001),)</f>
        <v>2.6960000000000002</v>
      </c>
      <c r="J75">
        <f>IF(A75&gt;0,IF(INDEX(original!$P$2:$P$1500,B75+2)=4,INDEX(original!$A$2:$K$1500,B75+2,11),IF(INDEX(original!$P$2:$P$1500,B75+3)=4,INDEX(original!$A$2:$K$1500,B75+3,11),0.001)),0)</f>
        <v>-17.766999999999999</v>
      </c>
      <c r="R75">
        <f t="shared" si="96"/>
        <v>29.794163028910585</v>
      </c>
      <c r="S75">
        <f t="shared" si="95"/>
        <v>116.30248866785432</v>
      </c>
      <c r="AD75" t="str">
        <f t="shared" si="97"/>
        <v>MKT19 5-15</v>
      </c>
      <c r="AE75">
        <f t="shared" si="98"/>
        <v>30.235854437119524</v>
      </c>
      <c r="AF75">
        <f t="shared" si="99"/>
        <v>114.55224872287027</v>
      </c>
      <c r="AG75">
        <f t="shared" si="100"/>
        <v>2.3438173285088948</v>
      </c>
      <c r="AH75">
        <f t="shared" si="101"/>
        <v>-17.629870789414362</v>
      </c>
      <c r="AJ75" t="s">
        <v>125</v>
      </c>
      <c r="AK75">
        <f>IF(M2=1,AVERAGE(AN22:AN36),(IF(M36&gt;0,INDEX($AE$2:$AH$1500,M36,3),AVERAGE(AG5:AG9))))</f>
        <v>4.090452983708083</v>
      </c>
      <c r="AL75">
        <f>1.87</f>
        <v>1.87</v>
      </c>
      <c r="AR75" t="s">
        <v>194</v>
      </c>
      <c r="AS75">
        <f>SUM(AL72*AL72,AL73*AL73,AL74*AL74,AL75*AL75,AL76*AL76,AL77*AL77,AL78*AL78,AL79*AL79,AL80*AL80,AL81*AL81)</f>
        <v>2286.6518000000001</v>
      </c>
      <c r="AT75">
        <f>SUM(AL72*AL72,AL73*AL73,AL74*AL74,AL75*AL75,AL76*AL76,AL77*AL77,AL79*AL79)</f>
        <v>2286.6518000000001</v>
      </c>
      <c r="AW75" t="str">
        <f t="shared" si="102"/>
        <v>MKT19 5-15</v>
      </c>
      <c r="AX75">
        <f t="shared" si="103"/>
        <v>1.0715160731947835</v>
      </c>
      <c r="AY75">
        <f t="shared" si="106"/>
        <v>44.0819835452685</v>
      </c>
      <c r="AZ75">
        <f t="shared" si="104"/>
        <v>0.17392459229192314</v>
      </c>
      <c r="BA75">
        <f t="shared" si="105"/>
        <v>-29.345981555761259</v>
      </c>
      <c r="BJ75">
        <f t="shared" si="107"/>
        <v>1</v>
      </c>
      <c r="BK75">
        <f t="shared" si="108"/>
        <v>1</v>
      </c>
    </row>
    <row r="76" spans="1:63" x14ac:dyDescent="0.2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431</v>
      </c>
      <c r="C76" t="str">
        <f>IF(A76&gt;0,INDEX(original!$A$2:$K$1500,B76,2),0)</f>
        <v>INT13 25+</v>
      </c>
      <c r="D76">
        <f>IF(A76&gt;0,INDEX(original!$A$2:$K$1500,B76,3),0)</f>
        <v>29.751999999999999</v>
      </c>
      <c r="E76">
        <f>IF(A76&gt;0,IF(INDEX(original!$P$2:$P$1500,B76+1)=2,INDEX(original!$A$2:$K$1500,B76+1,5),1000000),0)</f>
        <v>5223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4205</v>
      </c>
      <c r="G76">
        <f>IF(A76&gt;0,IF(INDEX(original!$P$2:$P$1500,B76+2)=3,INDEX(original!$A$2:$K$1500,B76+2,9),0.001),0)</f>
        <v>14.653</v>
      </c>
      <c r="H76">
        <f>IF(A76&gt;0,IF(INDEX(original!$P$2:$P$1500,B76+2)=4,INDEX(original!$A$2:$K$1500,B76+2,9),IF(INDEX(original!$P$2:$P$1500,B76+3)=4,INDEX(original!$A$2:$K$1500,B76+3,9),0.0001)),0)</f>
        <v>12.878</v>
      </c>
      <c r="I76">
        <f>IF(A76&gt;0,IF(INDEX(original!$P$2:$P$1500,B76+2)=3,INDEX(original!$A$2:$K$1500,B76+2,10),0.001),)</f>
        <v>7.0439999999999996</v>
      </c>
      <c r="J76">
        <f>IF(A76&gt;0,IF(INDEX(original!$P$2:$P$1500,B76+2)=4,INDEX(original!$A$2:$K$1500,B76+2,11),IF(INDEX(original!$P$2:$P$1500,B76+3)=4,INDEX(original!$A$2:$K$1500,B76+3,11),0.001)),0)</f>
        <v>-13.180999999999999</v>
      </c>
      <c r="R76">
        <f t="shared" si="96"/>
        <v>14.644232888186865</v>
      </c>
      <c r="S76">
        <f t="shared" si="95"/>
        <v>12.884061286167263</v>
      </c>
      <c r="AD76" t="str">
        <f t="shared" si="97"/>
        <v>INT13 25+</v>
      </c>
      <c r="AE76">
        <f t="shared" si="98"/>
        <v>15.116168567447678</v>
      </c>
      <c r="AF76">
        <f t="shared" si="99"/>
        <v>13.577831677096086</v>
      </c>
      <c r="AG76">
        <f t="shared" si="100"/>
        <v>6.4490955919496322</v>
      </c>
      <c r="AH76">
        <f t="shared" si="101"/>
        <v>-13.597030504550679</v>
      </c>
      <c r="AJ76" t="s">
        <v>137</v>
      </c>
      <c r="AK76" t="b">
        <f>IF(M38&gt;0,INDEX($AE$2:$AH$1500,M38,3))</f>
        <v>0</v>
      </c>
      <c r="AL76" t="b">
        <f>IF(M38&gt;0,0.43)</f>
        <v>0</v>
      </c>
      <c r="AR76" t="s">
        <v>195</v>
      </c>
      <c r="AS76">
        <f>SUM(AK72*AL72,AK73*AL73,AK74*AL74,AK75*AL75,AK76*AL76,AK77*AL77,AK78*AL78,AK79*AL79,AK80*AL80,AK81*AL81)</f>
        <v>2369.1268448502624</v>
      </c>
      <c r="AT76">
        <f>SUM(AL72*AK72,AL73*AK73,AL74*AK74,AL75*AK75,AL76*AK76,AL77*AK77,AL79*AK79)</f>
        <v>2369.1268448502624</v>
      </c>
      <c r="AW76" t="str">
        <f t="shared" si="102"/>
        <v>INT13 25+</v>
      </c>
      <c r="AX76">
        <f t="shared" si="103"/>
        <v>7.1079864088972794E-2</v>
      </c>
      <c r="AY76">
        <f t="shared" si="106"/>
        <v>0.77328123474775068</v>
      </c>
      <c r="AZ76">
        <f t="shared" si="104"/>
        <v>4.3064770118021025</v>
      </c>
      <c r="BA76">
        <f t="shared" si="105"/>
        <v>-25.298865909248732</v>
      </c>
      <c r="BJ76">
        <f t="shared" si="107"/>
        <v>1</v>
      </c>
      <c r="BK76">
        <f t="shared" si="108"/>
        <v>1</v>
      </c>
    </row>
    <row r="77" spans="1:63" x14ac:dyDescent="0.2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437</v>
      </c>
      <c r="C77" t="str">
        <f>IF(A77&gt;0,INDEX(original!$A$2:$K$1500,B77,2),0)</f>
        <v>INT14 15-25</v>
      </c>
      <c r="D77">
        <f>IF(A77&gt;0,INDEX(original!$A$2:$K$1500,B77,3),0)</f>
        <v>29.913</v>
      </c>
      <c r="E77">
        <f>IF(A77&gt;0,IF(INDEX(original!$P$2:$P$1500,B77+1)=2,INDEX(original!$A$2:$K$1500,B77+1,5),1000000),0)</f>
        <v>5219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4205</v>
      </c>
      <c r="G77">
        <f>IF(A77&gt;0,IF(INDEX(original!$P$2:$P$1500,B77+2)=3,INDEX(original!$A$2:$K$1500,B77+2,9),0.001),0)</f>
        <v>15.185</v>
      </c>
      <c r="H77">
        <f>IF(A77&gt;0,IF(INDEX(original!$P$2:$P$1500,B77+2)=4,INDEX(original!$A$2:$K$1500,B77+2,9),IF(INDEX(original!$P$2:$P$1500,B77+3)=4,INDEX(original!$A$2:$K$1500,B77+3,9),0.0001)),0)</f>
        <v>11.811</v>
      </c>
      <c r="I77">
        <f>IF(A77&gt;0,IF(INDEX(original!$P$2:$P$1500,B77+2)=3,INDEX(original!$A$2:$K$1500,B77+2,10),0.001),)</f>
        <v>7.8140000000000001</v>
      </c>
      <c r="J77">
        <f>IF(A77&gt;0,IF(INDEX(original!$P$2:$P$1500,B77+2)=4,INDEX(original!$A$2:$K$1500,B77+2,11),IF(INDEX(original!$P$2:$P$1500,B77+3)=4,INDEX(original!$A$2:$K$1500,B77+3,11),0.001)),0)</f>
        <v>-12.444000000000001</v>
      </c>
      <c r="R77">
        <f t="shared" si="96"/>
        <v>15.187545866066298</v>
      </c>
      <c r="S77">
        <f t="shared" si="95"/>
        <v>11.816559081450656</v>
      </c>
      <c r="AD77" t="str">
        <f t="shared" si="97"/>
        <v>INT14 15-25</v>
      </c>
      <c r="AE77">
        <f t="shared" si="98"/>
        <v>15.666498343677533</v>
      </c>
      <c r="AF77">
        <f t="shared" si="99"/>
        <v>12.481956892444355</v>
      </c>
      <c r="AG77">
        <f t="shared" si="100"/>
        <v>7.228238533673796</v>
      </c>
      <c r="AH77">
        <f t="shared" si="101"/>
        <v>-12.865470327868611</v>
      </c>
      <c r="AJ77" t="s">
        <v>138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INT14 15-25</v>
      </c>
      <c r="AX77">
        <f t="shared" si="103"/>
        <v>7.3301672087039263E-2</v>
      </c>
      <c r="AY77">
        <f t="shared" si="106"/>
        <v>0.71322166518256913</v>
      </c>
      <c r="AZ77">
        <f t="shared" si="104"/>
        <v>5.0907963300906109</v>
      </c>
      <c r="BA77">
        <f t="shared" si="105"/>
        <v>-24.564716171524729</v>
      </c>
      <c r="BJ77">
        <f t="shared" si="107"/>
        <v>1</v>
      </c>
      <c r="BK77">
        <f t="shared" si="108"/>
        <v>1</v>
      </c>
    </row>
    <row r="78" spans="1:63" x14ac:dyDescent="0.2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443</v>
      </c>
      <c r="C78" t="str">
        <f>IF(A78&gt;0,INDEX(original!$A$2:$K$1500,B78,2),0)</f>
        <v>MKT20 0-5</v>
      </c>
      <c r="D78">
        <f>IF(A78&gt;0,INDEX(original!$A$2:$K$1500,B78,3),0)</f>
        <v>3.9969999999999999</v>
      </c>
      <c r="E78">
        <f>IF(A78&gt;0,IF(INDEX(original!$P$2:$P$1500,B78+1)=2,INDEX(original!$A$2:$K$1500,B78+1,5),1000000),0)</f>
        <v>5222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4209</v>
      </c>
      <c r="G78">
        <f>IF(A78&gt;0,IF(INDEX(original!$P$2:$P$1500,B78+2)=3,INDEX(original!$A$2:$K$1500,B78+2,9),0.001),0)</f>
        <v>38.292999999999999</v>
      </c>
      <c r="H78">
        <f>IF(A78&gt;0,IF(INDEX(original!$P$2:$P$1500,B78+2)=4,INDEX(original!$A$2:$K$1500,B78+2,9),IF(INDEX(original!$P$2:$P$1500,B78+3)=4,INDEX(original!$A$2:$K$1500,B78+3,9),0.0001)),0)</f>
        <v>122.508</v>
      </c>
      <c r="I78">
        <f>IF(A78&gt;0,IF(INDEX(original!$P$2:$P$1500,B78+2)=3,INDEX(original!$A$2:$K$1500,B78+2,10),0.001),)</f>
        <v>2.2080000000000002</v>
      </c>
      <c r="J78">
        <f>IF(A78&gt;0,IF(INDEX(original!$P$2:$P$1500,B78+2)=4,INDEX(original!$A$2:$K$1500,B78+2,11),IF(INDEX(original!$P$2:$P$1500,B78+3)=4,INDEX(original!$A$2:$K$1500,B78+3,11),0.001)),0)</f>
        <v>-18.120999999999999</v>
      </c>
      <c r="R78">
        <f t="shared" si="96"/>
        <v>38.277417344887013</v>
      </c>
      <c r="S78">
        <f t="shared" si="95"/>
        <v>122.44918121881682</v>
      </c>
      <c r="AD78" t="str">
        <f t="shared" si="97"/>
        <v>MKT20 0-5</v>
      </c>
      <c r="AE78">
        <f t="shared" si="98"/>
        <v>38.53353513437655</v>
      </c>
      <c r="AF78">
        <f t="shared" si="99"/>
        <v>120.40863505429678</v>
      </c>
      <c r="AG78">
        <f t="shared" si="100"/>
        <v>1.9806559975952105</v>
      </c>
      <c r="AH78">
        <f t="shared" si="101"/>
        <v>-17.949363507032615</v>
      </c>
      <c r="AJ78" t="s">
        <v>139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MKT20 0-5</v>
      </c>
      <c r="AX78">
        <f t="shared" si="103"/>
        <v>1.3665298404751907</v>
      </c>
      <c r="AY78">
        <f t="shared" si="106"/>
        <v>46.355097186048305</v>
      </c>
      <c r="AZ78">
        <f t="shared" si="104"/>
        <v>-0.19164946637908117</v>
      </c>
      <c r="BA78">
        <f t="shared" si="105"/>
        <v>-29.666605206857163</v>
      </c>
      <c r="BJ78">
        <f t="shared" si="107"/>
        <v>1</v>
      </c>
      <c r="BK78">
        <f t="shared" si="108"/>
        <v>1</v>
      </c>
    </row>
    <row r="79" spans="1:63" x14ac:dyDescent="0.2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449</v>
      </c>
      <c r="C79" t="str">
        <f>IF(A79&gt;0,INDEX(original!$A$2:$K$1500,B79,2),0)</f>
        <v>MKT20 5-15</v>
      </c>
      <c r="D79">
        <f>IF(A79&gt;0,INDEX(original!$A$2:$K$1500,B79,3),0)</f>
        <v>3.9969999999999999</v>
      </c>
      <c r="E79">
        <f>IF(A79&gt;0,IF(INDEX(original!$P$2:$P$1500,B79+1)=2,INDEX(original!$A$2:$K$1500,B79+1,5),1000000),0)</f>
        <v>5225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4211</v>
      </c>
      <c r="G79">
        <f>IF(A79&gt;0,IF(INDEX(original!$P$2:$P$1500,B79+2)=3,INDEX(original!$A$2:$K$1500,B79+2,9),0.001),0)</f>
        <v>5</v>
      </c>
      <c r="H79">
        <f>IF(A79&gt;0,IF(INDEX(original!$P$2:$P$1500,B79+2)=4,INDEX(original!$A$2:$K$1500,B79+2,9),IF(INDEX(original!$P$2:$P$1500,B79+3)=4,INDEX(original!$A$2:$K$1500,B79+3,9),0.0001)),0)</f>
        <v>8.6929999999999996</v>
      </c>
      <c r="I79">
        <f>IF(A79&gt;0,IF(INDEX(original!$P$2:$P$1500,B79+2)=3,INDEX(original!$A$2:$K$1500,B79+2,10),0.001),)</f>
        <v>5.0860000000000003</v>
      </c>
      <c r="J79">
        <f>IF(A79&gt;0,IF(INDEX(original!$P$2:$P$1500,B79+2)=4,INDEX(original!$A$2:$K$1500,B79+2,11),IF(INDEX(original!$P$2:$P$1500,B79+3)=4,INDEX(original!$A$2:$K$1500,B79+3,11),0.001)),0)</f>
        <v>-14.987</v>
      </c>
      <c r="R79">
        <f t="shared" si="96"/>
        <v>4.9950956937799047</v>
      </c>
      <c r="S79">
        <f t="shared" si="95"/>
        <v>8.6846995715586175</v>
      </c>
      <c r="AD79" t="str">
        <f t="shared" si="97"/>
        <v>MKT20 5-15</v>
      </c>
      <c r="AE79">
        <f t="shared" si="98"/>
        <v>5.2217249669247465</v>
      </c>
      <c r="AF79">
        <f t="shared" si="99"/>
        <v>9.2393753577413662</v>
      </c>
      <c r="AG79">
        <f t="shared" si="100"/>
        <v>4.3232862225372246</v>
      </c>
      <c r="AH79">
        <f t="shared" si="101"/>
        <v>-15.424397956957058</v>
      </c>
      <c r="AJ79" t="s">
        <v>142</v>
      </c>
      <c r="AK79" t="b">
        <f>IF(M43&gt;0,INDEX($AE$2:$AH$1500,M43,3))</f>
        <v>0</v>
      </c>
      <c r="AL79" t="b">
        <f>IF(M43&gt;0,47.2)</f>
        <v>0</v>
      </c>
      <c r="AR79" t="s">
        <v>202</v>
      </c>
      <c r="AS79" s="4" t="s">
        <v>235</v>
      </c>
      <c r="AW79" t="str">
        <f t="shared" si="102"/>
        <v>MKT20 5-15</v>
      </c>
      <c r="AX79">
        <f t="shared" si="103"/>
        <v>0.18432411324246337</v>
      </c>
      <c r="AY79">
        <f t="shared" si="106"/>
        <v>3.6235834221159955</v>
      </c>
      <c r="AZ79">
        <f t="shared" si="104"/>
        <v>2.1665444446928248</v>
      </c>
      <c r="BA79">
        <f t="shared" si="105"/>
        <v>-27.132701837817269</v>
      </c>
      <c r="BJ79">
        <f t="shared" si="107"/>
        <v>1</v>
      </c>
      <c r="BK79">
        <f t="shared" si="108"/>
        <v>1</v>
      </c>
    </row>
    <row r="80" spans="1:63" x14ac:dyDescent="0.2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455</v>
      </c>
      <c r="C80" t="str">
        <f>IF(A80&gt;0,INDEX(original!$A$2:$K$1500,B80,2),0)</f>
        <v>INT14 25+</v>
      </c>
      <c r="D80">
        <f>IF(A80&gt;0,INDEX(original!$A$2:$K$1500,B80,3),0)</f>
        <v>30.152000000000001</v>
      </c>
      <c r="E80">
        <f>IF(A80&gt;0,IF(INDEX(original!$P$2:$P$1500,B80+1)=2,INDEX(original!$A$2:$K$1500,B80+1,5),1000000),0)</f>
        <v>5224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4211</v>
      </c>
      <c r="G80">
        <f>IF(A80&gt;0,IF(INDEX(original!$P$2:$P$1500,B80+2)=3,INDEX(original!$A$2:$K$1500,B80+2,9),0.001),0)</f>
        <v>17.683</v>
      </c>
      <c r="H80">
        <f>IF(A80&gt;0,IF(INDEX(original!$P$2:$P$1500,B80+2)=4,INDEX(original!$A$2:$K$1500,B80+2,9),IF(INDEX(original!$P$2:$P$1500,B80+3)=4,INDEX(original!$A$2:$K$1500,B80+3,9),0.0001)),0)</f>
        <v>15.226000000000001</v>
      </c>
      <c r="I80">
        <f>IF(A80&gt;0,IF(INDEX(original!$P$2:$P$1500,B80+2)=3,INDEX(original!$A$2:$K$1500,B80+2,10),0.001),)</f>
        <v>7.4379999999999997</v>
      </c>
      <c r="J80">
        <f>IF(A80&gt;0,IF(INDEX(original!$P$2:$P$1500,B80+2)=4,INDEX(original!$A$2:$K$1500,B80+2,11),IF(INDEX(original!$P$2:$P$1500,B80+3)=4,INDEX(original!$A$2:$K$1500,B80+3,11),0.001)),0)</f>
        <v>-12.833</v>
      </c>
      <c r="R80">
        <f t="shared" si="96"/>
        <v>17.669037064509954</v>
      </c>
      <c r="S80">
        <f t="shared" si="95"/>
        <v>15.211461598590994</v>
      </c>
      <c r="AD80" t="str">
        <f t="shared" si="97"/>
        <v>INT14 25+</v>
      </c>
      <c r="AE80">
        <f t="shared" si="98"/>
        <v>18.171638269087779</v>
      </c>
      <c r="AF80">
        <f t="shared" si="99"/>
        <v>15.951798429734184</v>
      </c>
      <c r="AG80">
        <f t="shared" si="100"/>
        <v>6.8935827841988226</v>
      </c>
      <c r="AH80">
        <f t="shared" si="101"/>
        <v>-13.237151313340933</v>
      </c>
      <c r="AJ80" t="s">
        <v>143</v>
      </c>
      <c r="AK80" t="b">
        <f>IF(M44&gt;0,INDEX($AE$2:$AH$1500,M44,3))</f>
        <v>0</v>
      </c>
      <c r="AL80" t="b">
        <f>IF(M44&gt;0,244.6)</f>
        <v>0</v>
      </c>
      <c r="AR80" t="s">
        <v>204</v>
      </c>
      <c r="AS80" t="s">
        <v>205</v>
      </c>
      <c r="AT80" t="s">
        <v>206</v>
      </c>
      <c r="AW80" t="str">
        <f t="shared" si="102"/>
        <v>INT14 25+</v>
      </c>
      <c r="AX80">
        <f t="shared" si="103"/>
        <v>8.4498211502025994E-2</v>
      </c>
      <c r="AY80">
        <f t="shared" si="106"/>
        <v>0.88494369640846082</v>
      </c>
      <c r="AZ80">
        <f t="shared" si="104"/>
        <v>4.7539172348263881</v>
      </c>
      <c r="BA80">
        <f t="shared" si="105"/>
        <v>-24.937712825387273</v>
      </c>
      <c r="BJ80">
        <f t="shared" si="107"/>
        <v>1</v>
      </c>
      <c r="BK80">
        <f t="shared" si="108"/>
        <v>1</v>
      </c>
    </row>
    <row r="81" spans="1:63" x14ac:dyDescent="0.2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461</v>
      </c>
      <c r="C81" t="str">
        <f>IF(A81&gt;0,INDEX(original!$A$2:$K$1500,B81,2),0)</f>
        <v>INT15 15-25</v>
      </c>
      <c r="D81">
        <f>IF(A81&gt;0,INDEX(original!$A$2:$K$1500,B81,3),0)</f>
        <v>30.016999999999999</v>
      </c>
      <c r="E81">
        <f>IF(A81&gt;0,IF(INDEX(original!$P$2:$P$1500,B81+1)=2,INDEX(original!$A$2:$K$1500,B81+1,5),1000000),0)</f>
        <v>5227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4210</v>
      </c>
      <c r="G81">
        <f>IF(A81&gt;0,IF(INDEX(original!$P$2:$P$1500,B81+2)=3,INDEX(original!$A$2:$K$1500,B81+2,9),0.001),0)</f>
        <v>13.621</v>
      </c>
      <c r="H81">
        <f>IF(A81&gt;0,IF(INDEX(original!$P$2:$P$1500,B81+2)=4,INDEX(original!$A$2:$K$1500,B81+2,9),IF(INDEX(original!$P$2:$P$1500,B81+3)=4,INDEX(original!$A$2:$K$1500,B81+3,9),0.0001)),0)</f>
        <v>12.348000000000001</v>
      </c>
      <c r="I81">
        <f>IF(A81&gt;0,IF(INDEX(original!$P$2:$P$1500,B81+2)=3,INDEX(original!$A$2:$K$1500,B81+2,10),0.001),)</f>
        <v>6.9690000000000003</v>
      </c>
      <c r="J81">
        <f>IF(A81&gt;0,IF(INDEX(original!$P$2:$P$1500,B81+2)=4,INDEX(original!$A$2:$K$1500,B81+2,11),IF(INDEX(original!$P$2:$P$1500,B81+3)=4,INDEX(original!$A$2:$K$1500,B81+3,11),0.001)),0)</f>
        <v>-13.329000000000001</v>
      </c>
      <c r="R81">
        <f t="shared" si="96"/>
        <v>13.602433016070405</v>
      </c>
      <c r="S81">
        <f t="shared" si="95"/>
        <v>12.339139845605702</v>
      </c>
      <c r="AD81" t="str">
        <f t="shared" si="97"/>
        <v>INT15 15-25</v>
      </c>
      <c r="AE81">
        <f t="shared" si="98"/>
        <v>14.059009906947816</v>
      </c>
      <c r="AF81">
        <f t="shared" si="99"/>
        <v>13.018997250597891</v>
      </c>
      <c r="AG81">
        <f t="shared" si="100"/>
        <v>6.3564728315966992</v>
      </c>
      <c r="AH81">
        <f t="shared" si="101"/>
        <v>-13.747808027778998</v>
      </c>
      <c r="AJ81" t="s">
        <v>144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2.9375705406864002E-3</v>
      </c>
      <c r="AT81">
        <f>IF(AK72=FALSE,0,(AK72-AVERAGE(AK$72:AK$81))^2)</f>
        <v>376.57865466615129</v>
      </c>
      <c r="AW81" t="str">
        <f t="shared" si="102"/>
        <v>INT15 15-25</v>
      </c>
      <c r="AX81">
        <f t="shared" si="103"/>
        <v>6.5447842892690303E-2</v>
      </c>
      <c r="AY81">
        <f t="shared" si="106"/>
        <v>0.73848810474678139</v>
      </c>
      <c r="AZ81">
        <f t="shared" si="104"/>
        <v>4.2132388954466427</v>
      </c>
      <c r="BA81">
        <f t="shared" si="105"/>
        <v>-25.450177151523818</v>
      </c>
      <c r="BJ81">
        <f t="shared" si="107"/>
        <v>1</v>
      </c>
      <c r="BK81">
        <f t="shared" si="108"/>
        <v>1</v>
      </c>
    </row>
    <row r="82" spans="1:63" x14ac:dyDescent="0.2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467</v>
      </c>
      <c r="C82" t="str">
        <f>IF(A82&gt;0,INDEX(original!$A$2:$K$1500,B82,2),0)</f>
        <v>MKS17 0-5</v>
      </c>
      <c r="D82">
        <f>IF(A82&gt;0,INDEX(original!$A$2:$K$1500,B82,3),0)</f>
        <v>3.9990000000000001</v>
      </c>
      <c r="E82">
        <f>IF(A82&gt;0,IF(INDEX(original!$P$2:$P$1500,B82+1)=2,INDEX(original!$A$2:$K$1500,B82+1,5),1000000),0)</f>
        <v>5226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4208</v>
      </c>
      <c r="G82">
        <f>IF(A82&gt;0,IF(INDEX(original!$P$2:$P$1500,B82+2)=3,INDEX(original!$A$2:$K$1500,B82+2,9),0.001),0)</f>
        <v>33.688000000000002</v>
      </c>
      <c r="H82">
        <f>IF(A82&gt;0,IF(INDEX(original!$P$2:$P$1500,B82+2)=4,INDEX(original!$A$2:$K$1500,B82+2,9),IF(INDEX(original!$P$2:$P$1500,B82+3)=4,INDEX(original!$A$2:$K$1500,B82+3,9),0.0001)),0)</f>
        <v>89.257999999999996</v>
      </c>
      <c r="I82">
        <f>IF(A82&gt;0,IF(INDEX(original!$P$2:$P$1500,B82+2)=3,INDEX(original!$A$2:$K$1500,B82+2,10),0.001),)</f>
        <v>2.996</v>
      </c>
      <c r="J82">
        <f>IF(A82&gt;0,IF(INDEX(original!$P$2:$P$1500,B82+2)=4,INDEX(original!$A$2:$K$1500,B82+2,11),IF(INDEX(original!$P$2:$P$1500,B82+3)=4,INDEX(original!$A$2:$K$1500,B82+3,11),0.001)),0)</f>
        <v>-16.234000000000002</v>
      </c>
      <c r="R82">
        <f t="shared" si="96"/>
        <v>33.648516838882514</v>
      </c>
      <c r="S82">
        <f t="shared" si="95"/>
        <v>89.236346591809252</v>
      </c>
      <c r="AD82" t="str">
        <f t="shared" si="97"/>
        <v>MKS17 0-5</v>
      </c>
      <c r="AE82">
        <f t="shared" si="98"/>
        <v>34.018349671980843</v>
      </c>
      <c r="AF82">
        <f t="shared" si="99"/>
        <v>88.690535609645138</v>
      </c>
      <c r="AG82">
        <f t="shared" si="100"/>
        <v>2.7015230890988966</v>
      </c>
      <c r="AH82">
        <f t="shared" si="101"/>
        <v>-16.246643093961737</v>
      </c>
      <c r="AN82" s="3" t="s">
        <v>235</v>
      </c>
      <c r="AO82" s="3" t="s">
        <v>236</v>
      </c>
      <c r="AR82" t="str">
        <f t="shared" si="109"/>
        <v>USGS-41</v>
      </c>
      <c r="AS82">
        <f t="shared" ref="AS82:AS89" si="110">IF(AK73=FALSE,0,(AK73-AL73*AN$83-AN$84)^2)</f>
        <v>5.7073534502013024E-5</v>
      </c>
      <c r="AT82">
        <f t="shared" ref="AT82:AT90" si="111">IF(AK73=FALSE,0,(AK73-AVERAGE(AK$72:AK$81))^2)</f>
        <v>1047.6457821955382</v>
      </c>
      <c r="AW82" t="str">
        <f t="shared" si="102"/>
        <v>MKS17 0-5</v>
      </c>
      <c r="AX82">
        <f t="shared" si="103"/>
        <v>1.2056862400080206</v>
      </c>
      <c r="AY82">
        <f t="shared" si="106"/>
        <v>34.14616621929747</v>
      </c>
      <c r="AZ82">
        <f t="shared" si="104"/>
        <v>0.53400683557449968</v>
      </c>
      <c r="BA82">
        <f t="shared" si="105"/>
        <v>-27.957857540543777</v>
      </c>
      <c r="BJ82">
        <f t="shared" si="107"/>
        <v>1</v>
      </c>
      <c r="BK82">
        <f t="shared" si="108"/>
        <v>1</v>
      </c>
    </row>
    <row r="83" spans="1:63" x14ac:dyDescent="0.2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473</v>
      </c>
      <c r="C83" t="str">
        <f>IF(A83&gt;0,INDEX(original!$A$2:$K$1500,B83,2),0)</f>
        <v>MKS17 5-15</v>
      </c>
      <c r="D83">
        <f>IF(A83&gt;0,INDEX(original!$A$2:$K$1500,B83,3),0)</f>
        <v>3.9969999999999999</v>
      </c>
      <c r="E83">
        <f>IF(A83&gt;0,IF(INDEX(original!$P$2:$P$1500,B83+1)=2,INDEX(original!$A$2:$K$1500,B83+1,5),1000000),0)</f>
        <v>5222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4209</v>
      </c>
      <c r="G83">
        <f>IF(A83&gt;0,IF(INDEX(original!$P$2:$P$1500,B83+2)=3,INDEX(original!$A$2:$K$1500,B83+2,9),0.001),0)</f>
        <v>13.746</v>
      </c>
      <c r="H83">
        <f>IF(A83&gt;0,IF(INDEX(original!$P$2:$P$1500,B83+2)=4,INDEX(original!$A$2:$K$1500,B83+2,9),IF(INDEX(original!$P$2:$P$1500,B83+3)=4,INDEX(original!$A$2:$K$1500,B83+3,9),0.0001)),0)</f>
        <v>21.617000000000001</v>
      </c>
      <c r="I83">
        <f>IF(A83&gt;0,IF(INDEX(original!$P$2:$P$1500,B83+2)=3,INDEX(original!$A$2:$K$1500,B83+2,10),0.001),)</f>
        <v>5.2430000000000003</v>
      </c>
      <c r="J83">
        <f>IF(A83&gt;0,IF(INDEX(original!$P$2:$P$1500,B83+2)=4,INDEX(original!$A$2:$K$1500,B83+2,11),IF(INDEX(original!$P$2:$P$1500,B83+3)=4,INDEX(original!$A$2:$K$1500,B83+3,11),0.001)),0)</f>
        <v>-15.239000000000001</v>
      </c>
      <c r="R83">
        <f t="shared" si="96"/>
        <v>13.740406309842973</v>
      </c>
      <c r="S83">
        <f t="shared" si="95"/>
        <v>21.606621203571716</v>
      </c>
      <c r="AD83" t="str">
        <f t="shared" si="97"/>
        <v>MKS17 5-15</v>
      </c>
      <c r="AE83">
        <f t="shared" si="98"/>
        <v>14.199162592502928</v>
      </c>
      <c r="AF83">
        <f t="shared" si="99"/>
        <v>22.379259484105706</v>
      </c>
      <c r="AG83">
        <f t="shared" si="100"/>
        <v>4.6328136328436873</v>
      </c>
      <c r="AH83">
        <f t="shared" si="101"/>
        <v>-15.610375011665987</v>
      </c>
      <c r="AM83" t="s">
        <v>212</v>
      </c>
      <c r="AN83">
        <f>(AS72*AS76-AS74*AS73)/(AS72*AS75-AS74*AS74)</f>
        <v>0.99340016694266775</v>
      </c>
      <c r="AO83">
        <f>(AT72*AT76-AT74*AT73)/(AT72*AT75-AT74*AT74)</f>
        <v>0.99340016694266775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MKS17 5-15</v>
      </c>
      <c r="AX83">
        <f t="shared" si="103"/>
        <v>0.50292517765423739</v>
      </c>
      <c r="AY83">
        <f t="shared" si="106"/>
        <v>8.6743244357274314</v>
      </c>
      <c r="AZ83">
        <f t="shared" si="104"/>
        <v>2.4781282561381945</v>
      </c>
      <c r="BA83">
        <f t="shared" si="105"/>
        <v>-27.319337210120455</v>
      </c>
      <c r="BJ83">
        <f t="shared" si="107"/>
        <v>1</v>
      </c>
      <c r="BK83">
        <f t="shared" si="108"/>
        <v>1</v>
      </c>
    </row>
    <row r="84" spans="1:63" x14ac:dyDescent="0.2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479</v>
      </c>
      <c r="C84" t="str">
        <f>IF(A84&gt;0,INDEX(original!$A$2:$K$1500,B84,2),0)</f>
        <v>INT15 25+</v>
      </c>
      <c r="D84">
        <f>IF(A84&gt;0,INDEX(original!$A$2:$K$1500,B84,3),0)</f>
        <v>29.748999999999999</v>
      </c>
      <c r="E84">
        <f>IF(A84&gt;0,IF(INDEX(original!$P$2:$P$1500,B84+1)=2,INDEX(original!$A$2:$K$1500,B84+1,5),1000000),0)</f>
        <v>5223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4207</v>
      </c>
      <c r="G84">
        <f>IF(A84&gt;0,IF(INDEX(original!$P$2:$P$1500,B84+2)=3,INDEX(original!$A$2:$K$1500,B84+2,9),0.001),0)</f>
        <v>13.712</v>
      </c>
      <c r="H84">
        <f>IF(A84&gt;0,IF(INDEX(original!$P$2:$P$1500,B84+2)=4,INDEX(original!$A$2:$K$1500,B84+2,9),IF(INDEX(original!$P$2:$P$1500,B84+3)=4,INDEX(original!$A$2:$K$1500,B84+3,9),0.0001)),0)</f>
        <v>11.755000000000001</v>
      </c>
      <c r="I84">
        <f>IF(A84&gt;0,IF(INDEX(original!$P$2:$P$1500,B84+2)=3,INDEX(original!$A$2:$K$1500,B84+2,10),0.001),)</f>
        <v>6.8540000000000001</v>
      </c>
      <c r="J84">
        <f>IF(A84&gt;0,IF(INDEX(original!$P$2:$P$1500,B84+2)=4,INDEX(original!$A$2:$K$1500,B84+2,11),IF(INDEX(original!$P$2:$P$1500,B84+3)=4,INDEX(original!$A$2:$K$1500,B84+3,11),0.001)),0)</f>
        <v>-12.813000000000001</v>
      </c>
      <c r="R84">
        <f t="shared" si="96"/>
        <v>13.703795902737889</v>
      </c>
      <c r="S84">
        <f t="shared" si="95"/>
        <v>11.754941788487443</v>
      </c>
      <c r="AD84" t="str">
        <f t="shared" si="97"/>
        <v>INT15 25+</v>
      </c>
      <c r="AE84">
        <f t="shared" si="98"/>
        <v>14.161978250315435</v>
      </c>
      <c r="AF84">
        <f t="shared" si="99"/>
        <v>12.418561637991884</v>
      </c>
      <c r="AG84">
        <f t="shared" si="100"/>
        <v>6.2431927198933606</v>
      </c>
      <c r="AH84">
        <f t="shared" si="101"/>
        <v>-13.234784151497065</v>
      </c>
      <c r="AM84" t="s">
        <v>201</v>
      </c>
      <c r="AN84">
        <f>(AS73*AS75-AS74*AS76)/(AS72*AS75-AS74*AS74)</f>
        <v>2.1710406094906629</v>
      </c>
      <c r="AO84">
        <f>(AT73*AT75-AT74*AT76)/(AT72*AT75-AT74*AT74)</f>
        <v>2.1710406094906629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3.8135641777770905E-3</v>
      </c>
      <c r="AT84">
        <f t="shared" si="111"/>
        <v>168.00624048677054</v>
      </c>
      <c r="AW84" t="str">
        <f t="shared" si="102"/>
        <v>INT15 25+</v>
      </c>
      <c r="AX84">
        <f t="shared" si="103"/>
        <v>6.6537339215522101E-2</v>
      </c>
      <c r="AY84">
        <f t="shared" si="106"/>
        <v>0.71348184573384299</v>
      </c>
      <c r="AZ84">
        <f t="shared" si="104"/>
        <v>4.0992061869038467</v>
      </c>
      <c r="BA84">
        <f t="shared" si="105"/>
        <v>-24.935337284314624</v>
      </c>
      <c r="BJ84">
        <f t="shared" si="107"/>
        <v>1</v>
      </c>
      <c r="BK84">
        <f t="shared" si="108"/>
        <v>1</v>
      </c>
    </row>
    <row r="85" spans="1:63" x14ac:dyDescent="0.2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485</v>
      </c>
      <c r="C85" t="str">
        <f>IF(A85&gt;0,INDEX(original!$A$2:$K$1500,B85,2),0)</f>
        <v>BRS7</v>
      </c>
      <c r="D85">
        <f>IF(A85&gt;0,INDEX(original!$A$2:$K$1500,B85,3),0)</f>
        <v>12.000999999999999</v>
      </c>
      <c r="E85">
        <f>IF(A85&gt;0,IF(INDEX(original!$P$2:$P$1500,B85+1)=2,INDEX(original!$A$2:$K$1500,B85+1,5),1000000),0)</f>
        <v>5222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4202</v>
      </c>
      <c r="G85">
        <f>IF(A85&gt;0,IF(INDEX(original!$P$2:$P$1500,B85+2)=3,INDEX(original!$A$2:$K$1500,B85+2,9),0.001),0)</f>
        <v>1E-3</v>
      </c>
      <c r="H85">
        <f>IF(A85&gt;0,IF(INDEX(original!$P$2:$P$1500,B85+2)=4,INDEX(original!$A$2:$K$1500,B85+2,9),IF(INDEX(original!$P$2:$P$1500,B85+3)=4,INDEX(original!$A$2:$K$1500,B85+3,9),0.0001)),0)</f>
        <v>1E-4</v>
      </c>
      <c r="I85">
        <f>IF(A85&gt;0,IF(INDEX(original!$P$2:$P$1500,B85+2)=3,INDEX(original!$A$2:$K$1500,B85+2,10),0.001),)</f>
        <v>1E-3</v>
      </c>
      <c r="J85">
        <f>IF(A85&gt;0,IF(INDEX(original!$P$2:$P$1500,B85+2)=4,INDEX(original!$A$2:$K$1500,B85+2,11),IF(INDEX(original!$P$2:$P$1500,B85+3)=4,INDEX(original!$A$2:$K$1500,B85+3,11),0.001)),0)</f>
        <v>1E-3</v>
      </c>
      <c r="R85">
        <f t="shared" si="96"/>
        <v>9.995930677901188E-4</v>
      </c>
      <c r="S85">
        <f t="shared" si="95"/>
        <v>1.0011849516103444E-4</v>
      </c>
      <c r="AD85" t="str">
        <f t="shared" si="97"/>
        <v>BRS7</v>
      </c>
      <c r="AE85">
        <f t="shared" si="98"/>
        <v>1.0524187472142244E-3</v>
      </c>
      <c r="AF85">
        <f t="shared" si="99"/>
        <v>1.0888343973355192E-4</v>
      </c>
      <c r="AG85">
        <f t="shared" si="100"/>
        <v>-0.85260617363344426</v>
      </c>
      <c r="AH85">
        <f t="shared" si="101"/>
        <v>-0.48031663597236474</v>
      </c>
      <c r="AM85" t="s">
        <v>215</v>
      </c>
      <c r="AN85">
        <f>IF(AK88&gt;2,1-SUM(AS81:AS90)/SUM(AT81:AT90),"Only Two Points")</f>
        <v>0.9999957241068459</v>
      </c>
      <c r="AO85">
        <f>IF(AK87&gt;2,1-SUM(AS95:AS101)/SUM(AT95:AT101),"Only Two Points")</f>
        <v>0.9999957241068459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BRS7</v>
      </c>
      <c r="AX85">
        <f t="shared" si="103"/>
        <v>-9.7769867715713867E-4</v>
      </c>
      <c r="AY85">
        <f t="shared" si="106"/>
        <v>7.2143512186005773E-2</v>
      </c>
      <c r="AZ85">
        <f t="shared" si="104"/>
        <v>-3.0437349255032</v>
      </c>
      <c r="BA85">
        <f t="shared" si="105"/>
        <v>-12.135721777904708</v>
      </c>
      <c r="BC85" t="s">
        <v>243</v>
      </c>
      <c r="BJ85">
        <f t="shared" si="107"/>
        <v>1</v>
      </c>
      <c r="BK85">
        <f t="shared" si="108"/>
        <v>1</v>
      </c>
    </row>
    <row r="86" spans="1:63" x14ac:dyDescent="0.2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489</v>
      </c>
      <c r="C86" t="str">
        <f>IF(A86&gt;0,INDEX(original!$A$2:$K$1500,B86,2),0)</f>
        <v>INT16 15-25</v>
      </c>
      <c r="D86">
        <f>IF(A86&gt;0,INDEX(original!$A$2:$K$1500,B86,3),0)</f>
        <v>30.135999999999999</v>
      </c>
      <c r="E86">
        <f>IF(A86&gt;0,IF(INDEX(original!$P$2:$P$1500,B86+1)=2,INDEX(original!$A$2:$K$1500,B86+1,5),1000000),0)</f>
        <v>5219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4199</v>
      </c>
      <c r="G86">
        <f>IF(A86&gt;0,IF(INDEX(original!$P$2:$P$1500,B86+2)=3,INDEX(original!$A$2:$K$1500,B86+2,9),0.001),0)</f>
        <v>14.651</v>
      </c>
      <c r="H86">
        <f>IF(A86&gt;0,IF(INDEX(original!$P$2:$P$1500,B86+2)=4,INDEX(original!$A$2:$K$1500,B86+2,9),IF(INDEX(original!$P$2:$P$1500,B86+3)=4,INDEX(original!$A$2:$K$1500,B86+3,9),0.0001)),0)</f>
        <v>13.736000000000001</v>
      </c>
      <c r="I86">
        <f>IF(A86&gt;0,IF(INDEX(original!$P$2:$P$1500,B86+2)=3,INDEX(original!$A$2:$K$1500,B86+2,10),0.001),)</f>
        <v>7.0679999999999996</v>
      </c>
      <c r="J86">
        <f>IF(A86&gt;0,IF(INDEX(original!$P$2:$P$1500,B86+2)=4,INDEX(original!$A$2:$K$1500,B86+2,11),IF(INDEX(original!$P$2:$P$1500,B86+3)=4,INDEX(original!$A$2:$K$1500,B86+3,11),0.001)),0)</f>
        <v>-13.391999999999999</v>
      </c>
      <c r="R86">
        <f t="shared" si="96"/>
        <v>14.653456337420961</v>
      </c>
      <c r="S86">
        <f t="shared" si="95"/>
        <v>13.762101889338734</v>
      </c>
      <c r="AD86" t="str">
        <f t="shared" si="97"/>
        <v>INT16 15-25</v>
      </c>
      <c r="AE86">
        <f t="shared" si="98"/>
        <v>15.125516772497432</v>
      </c>
      <c r="AF86">
        <f t="shared" si="99"/>
        <v>14.47584567862468</v>
      </c>
      <c r="AG86">
        <f t="shared" si="100"/>
        <v>6.4732510774611862</v>
      </c>
      <c r="AH86">
        <f t="shared" si="101"/>
        <v>-13.803552012846321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INT16 15-25</v>
      </c>
      <c r="AX86">
        <f t="shared" si="103"/>
        <v>7.0205533087180361E-2</v>
      </c>
      <c r="AY86">
        <f t="shared" si="106"/>
        <v>0.81012904306169364</v>
      </c>
      <c r="AZ86">
        <f t="shared" si="104"/>
        <v>4.3307929786353832</v>
      </c>
      <c r="BA86">
        <f t="shared" si="105"/>
        <v>-25.506118457955335</v>
      </c>
      <c r="BJ86">
        <f t="shared" si="107"/>
        <v>1</v>
      </c>
      <c r="BK86">
        <f t="shared" si="108"/>
        <v>1</v>
      </c>
    </row>
    <row r="87" spans="1:63" x14ac:dyDescent="0.2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495</v>
      </c>
      <c r="C87" t="str">
        <f>IF(A87&gt;0,INDEX(original!$A$2:$K$1500,B87,2),0)</f>
        <v>MKS18 0-5</v>
      </c>
      <c r="D87">
        <f>IF(A87&gt;0,INDEX(original!$A$2:$K$1500,B87,3),0)</f>
        <v>4</v>
      </c>
      <c r="E87">
        <f>IF(A87&gt;0,IF(INDEX(original!$P$2:$P$1500,B87+1)=2,INDEX(original!$A$2:$K$1500,B87+1,5),1000000),0)</f>
        <v>5216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4197</v>
      </c>
      <c r="G87">
        <f>IF(A87&gt;0,IF(INDEX(original!$P$2:$P$1500,B87+2)=3,INDEX(original!$A$2:$K$1500,B87+2,9),0.001),0)</f>
        <v>1E-3</v>
      </c>
      <c r="H87">
        <f>IF(A87&gt;0,IF(INDEX(original!$P$2:$P$1500,B87+2)=4,INDEX(original!$A$2:$K$1500,B87+2,9),IF(INDEX(original!$P$2:$P$1500,B87+3)=4,INDEX(original!$A$2:$K$1500,B87+3,9),0.0001)),0)</f>
        <v>1E-4</v>
      </c>
      <c r="I87">
        <f>IF(A87&gt;0,IF(INDEX(original!$P$2:$P$1500,B87+2)=3,INDEX(original!$A$2:$K$1500,B87+2,10),0.001),)</f>
        <v>1E-3</v>
      </c>
      <c r="J87">
        <f>IF(A87&gt;0,IF(INDEX(original!$P$2:$P$1500,B87+2)=4,INDEX(original!$A$2:$K$1500,B87+2,11),IF(INDEX(original!$P$2:$P$1500,B87+3)=4,INDEX(original!$A$2:$K$1500,B87+3,11),0.001)),0)</f>
        <v>1E-3</v>
      </c>
      <c r="R87">
        <f t="shared" si="96"/>
        <v>1.0007429064417179E-3</v>
      </c>
      <c r="S87">
        <f t="shared" si="95"/>
        <v>1.0023776904137878E-4</v>
      </c>
      <c r="AD87" t="str">
        <f t="shared" si="97"/>
        <v>MKS18 0-5</v>
      </c>
      <c r="AE87">
        <f t="shared" si="98"/>
        <v>1.0536293498237003E-3</v>
      </c>
      <c r="AF87">
        <f t="shared" si="99"/>
        <v>1.0901315549473796E-4</v>
      </c>
      <c r="AG87">
        <f t="shared" si="100"/>
        <v>-0.85260615238922544</v>
      </c>
      <c r="AH87">
        <f t="shared" si="101"/>
        <v>-0.480316635371695</v>
      </c>
      <c r="AK87">
        <f>COUNT(AK72:AK77,AK79)</f>
        <v>3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MKS18 0-5</v>
      </c>
      <c r="AX87">
        <f t="shared" si="103"/>
        <v>-9.5277379732390012E-4</v>
      </c>
      <c r="AY87">
        <f t="shared" si="106"/>
        <v>7.2171444167348761E-2</v>
      </c>
      <c r="AZ87">
        <f t="shared" si="104"/>
        <v>-3.0437349041178412</v>
      </c>
      <c r="BA87">
        <f t="shared" si="105"/>
        <v>-12.135721777301912</v>
      </c>
      <c r="BC87" t="s">
        <v>243</v>
      </c>
      <c r="BJ87">
        <f t="shared" si="107"/>
        <v>1</v>
      </c>
      <c r="BK87">
        <f t="shared" si="108"/>
        <v>1</v>
      </c>
    </row>
    <row r="88" spans="1:63" x14ac:dyDescent="0.2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499</v>
      </c>
      <c r="C88" t="str">
        <f>IF(A88&gt;0,INDEX(original!$A$2:$K$1500,B88,2),0)</f>
        <v>MKS18 5-15</v>
      </c>
      <c r="D88">
        <f>IF(A88&gt;0,INDEX(original!$A$2:$K$1500,B88,3),0)</f>
        <v>4.0019999999999998</v>
      </c>
      <c r="E88">
        <f>IF(A88&gt;0,IF(INDEX(original!$P$2:$P$1500,B88+1)=2,INDEX(original!$A$2:$K$1500,B88+1,5),1000000),0)</f>
        <v>5215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4196</v>
      </c>
      <c r="G88">
        <f>IF(A88&gt;0,IF(INDEX(original!$P$2:$P$1500,B88+2)=3,INDEX(original!$A$2:$K$1500,B88+2,9),0.001),0)</f>
        <v>5.1980000000000004</v>
      </c>
      <c r="H88">
        <f>IF(A88&gt;0,IF(INDEX(original!$P$2:$P$1500,B88+2)=4,INDEX(original!$A$2:$K$1500,B88+2,9),IF(INDEX(original!$P$2:$P$1500,B88+3)=4,INDEX(original!$A$2:$K$1500,B88+3,9),0.0001)),0)</f>
        <v>8.766</v>
      </c>
      <c r="I88">
        <f>IF(A88&gt;0,IF(INDEX(original!$P$2:$P$1500,B88+2)=3,INDEX(original!$A$2:$K$1500,B88+2,10),0.001),)</f>
        <v>5.6920000000000002</v>
      </c>
      <c r="J88">
        <f>IF(A88&gt;0,IF(INDEX(original!$P$2:$P$1500,B88+2)=4,INDEX(original!$A$2:$K$1500,B88+2,11),IF(INDEX(original!$P$2:$P$1500,B88+3)=4,INDEX(original!$A$2:$K$1500,B88+3,11),0.001)),0)</f>
        <v>-15.38</v>
      </c>
      <c r="R88">
        <f t="shared" si="96"/>
        <v>5.2028591083413236</v>
      </c>
      <c r="S88">
        <f t="shared" si="95"/>
        <v>8.7889369339847487</v>
      </c>
      <c r="AD88" t="str">
        <f t="shared" si="97"/>
        <v>MKS18 5-15</v>
      </c>
      <c r="AE88">
        <f t="shared" si="98"/>
        <v>5.4373493665230868</v>
      </c>
      <c r="AF88">
        <f t="shared" si="99"/>
        <v>9.3479886194484525</v>
      </c>
      <c r="AG88">
        <f t="shared" si="100"/>
        <v>4.9330078130254424</v>
      </c>
      <c r="AH88">
        <f t="shared" si="101"/>
        <v>-15.81686860319142</v>
      </c>
      <c r="AJ88" t="s">
        <v>237</v>
      </c>
      <c r="AK88">
        <f>COUNT(AK72:AK81)</f>
        <v>3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MKS18 5-15</v>
      </c>
      <c r="AX88">
        <f t="shared" si="103"/>
        <v>0.1917353386449821</v>
      </c>
      <c r="AY88">
        <f t="shared" si="106"/>
        <v>3.6608431961060379</v>
      </c>
      <c r="AZ88">
        <f t="shared" si="104"/>
        <v>2.780316830462322</v>
      </c>
      <c r="BA88">
        <f t="shared" si="105"/>
        <v>-27.526561743237661</v>
      </c>
      <c r="BJ88">
        <f t="shared" si="107"/>
        <v>1</v>
      </c>
      <c r="BK88">
        <f t="shared" si="108"/>
        <v>1</v>
      </c>
    </row>
    <row r="89" spans="1:63" x14ac:dyDescent="0.2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505</v>
      </c>
      <c r="C89" t="str">
        <f>IF(A89&gt;0,INDEX(original!$A$2:$K$1500,B89,2),0)</f>
        <v>Apple Leaves @ 2.0</v>
      </c>
      <c r="D89">
        <f>IF(A89&gt;0,INDEX(original!$A$2:$K$1500,B89,3),0)</f>
        <v>2.004</v>
      </c>
      <c r="E89">
        <f>IF(A89&gt;0,IF(INDEX(original!$P$2:$P$1500,B89+1)=2,INDEX(original!$A$2:$K$1500,B89+1,5),1000000),0)</f>
        <v>5209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4201</v>
      </c>
      <c r="G89">
        <f>IF(A89&gt;0,IF(INDEX(original!$P$2:$P$1500,B89+2)=3,INDEX(original!$A$2:$K$1500,B89+2,9),0.001),0)</f>
        <v>31.427</v>
      </c>
      <c r="H89">
        <f>IF(A89&gt;0,IF(INDEX(original!$P$2:$P$1500,B89+2)=4,INDEX(original!$A$2:$K$1500,B89+2,9),IF(INDEX(original!$P$2:$P$1500,B89+3)=4,INDEX(original!$A$2:$K$1500,B89+3,9),0.0001)),0)</f>
        <v>61.244</v>
      </c>
      <c r="I89">
        <f>IF(A89&gt;0,IF(INDEX(original!$P$2:$P$1500,B89+2)=3,INDEX(original!$A$2:$K$1500,B89+2,10),0.001),)</f>
        <v>3.1739999999999999</v>
      </c>
      <c r="J89">
        <f>IF(A89&gt;0,IF(INDEX(original!$P$2:$P$1500,B89+2)=4,INDEX(original!$A$2:$K$1500,B89+2,11),IF(INDEX(original!$P$2:$P$1500,B89+3)=4,INDEX(original!$A$2:$K$1500,B89+3,11),0.001)),0)</f>
        <v>-15.061999999999999</v>
      </c>
      <c r="R89">
        <f t="shared" si="96"/>
        <v>31.492611177769241</v>
      </c>
      <c r="S89">
        <f t="shared" si="95"/>
        <v>61.331166884868686</v>
      </c>
      <c r="AD89" t="str">
        <f t="shared" si="97"/>
        <v>Apple Leaves @ 2.0</v>
      </c>
      <c r="AE89">
        <f t="shared" si="98"/>
        <v>31.905375574317773</v>
      </c>
      <c r="AF89">
        <f t="shared" si="99"/>
        <v>61.71951054977162</v>
      </c>
      <c r="AG89">
        <f t="shared" si="100"/>
        <v>2.8474480378226024</v>
      </c>
      <c r="AH89">
        <f t="shared" si="101"/>
        <v>-15.225345215603953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 t="str">
        <f t="shared" si="102"/>
        <v>Apple Leaves @ 2.0</v>
      </c>
      <c r="AX89">
        <f t="shared" si="103"/>
        <v>2.2573799780566319</v>
      </c>
      <c r="AY89">
        <f t="shared" si="106"/>
        <v>47.389703441674307</v>
      </c>
      <c r="AZ89">
        <f t="shared" si="104"/>
        <v>0.68090126299624132</v>
      </c>
      <c r="BA89">
        <f t="shared" si="105"/>
        <v>-26.932944493834427</v>
      </c>
      <c r="BJ89">
        <f t="shared" si="107"/>
        <v>1</v>
      </c>
      <c r="BK89">
        <f t="shared" si="108"/>
        <v>1</v>
      </c>
    </row>
    <row r="90" spans="1:63" x14ac:dyDescent="0.2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511</v>
      </c>
      <c r="C90" t="str">
        <f>IF(A90&gt;0,INDEX(original!$A$2:$K$1500,B90,2),0)</f>
        <v>Acetanilide</v>
      </c>
      <c r="D90">
        <f>IF(A90&gt;0,INDEX(original!$A$2:$K$1500,B90,3),0)</f>
        <v>0.70199999999999996</v>
      </c>
      <c r="E90">
        <f>IF(A90&gt;0,IF(INDEX(original!$P$2:$P$1500,B90+1)=2,INDEX(original!$A$2:$K$1500,B90+1,5),1000000),0)</f>
        <v>5215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4201</v>
      </c>
      <c r="G90">
        <f>IF(A90&gt;0,IF(INDEX(original!$P$2:$P$1500,B90+2)=3,INDEX(original!$A$2:$K$1500,B90+2,9),0.001),0)</f>
        <v>49.984999999999999</v>
      </c>
      <c r="H90">
        <f>IF(A90&gt;0,IF(INDEX(original!$P$2:$P$1500,B90+2)=4,INDEX(original!$A$2:$K$1500,B90+2,9),IF(INDEX(original!$P$2:$P$1500,B90+3)=4,INDEX(original!$A$2:$K$1500,B90+3,9),0.0001)),0)</f>
        <v>30.661999999999999</v>
      </c>
      <c r="I90">
        <f>IF(A90&gt;0,IF(INDEX(original!$P$2:$P$1500,B90+2)=3,INDEX(original!$A$2:$K$1500,B90+2,10),0.001),)</f>
        <v>2.198</v>
      </c>
      <c r="J90">
        <f>IF(A90&gt;0,IF(INDEX(original!$P$2:$P$1500,B90+2)=4,INDEX(original!$A$2:$K$1500,B90+2,11),IF(INDEX(original!$P$2:$P$1500,B90+3)=4,INDEX(original!$A$2:$K$1500,B90+3,11),0.001)),0)</f>
        <v>-18.109000000000002</v>
      </c>
      <c r="R90">
        <f t="shared" si="96"/>
        <v>50.031726150527327</v>
      </c>
      <c r="S90">
        <f t="shared" si="95"/>
        <v>30.705640373323813</v>
      </c>
      <c r="AD90" t="str">
        <f t="shared" si="97"/>
        <v>Acetanilide</v>
      </c>
      <c r="AE90">
        <f t="shared" si="98"/>
        <v>49.892314645445971</v>
      </c>
      <c r="AF90">
        <f t="shared" si="99"/>
        <v>31.444657391438486</v>
      </c>
      <c r="AG90">
        <f t="shared" si="100"/>
        <v>2.1304915525745005</v>
      </c>
      <c r="AH90">
        <f t="shared" si="101"/>
        <v>-18.433399710411784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 t="str">
        <f t="shared" si="102"/>
        <v>Acetanilide</v>
      </c>
      <c r="AX90">
        <f t="shared" si="103"/>
        <v>10.27930697691545</v>
      </c>
      <c r="AY90">
        <f t="shared" si="106"/>
        <v>68.89098854871655</v>
      </c>
      <c r="AZ90">
        <f t="shared" si="104"/>
        <v>-4.0818451884257242E-2</v>
      </c>
      <c r="BA90">
        <f t="shared" si="105"/>
        <v>-30.152354791220027</v>
      </c>
      <c r="BJ90">
        <f t="shared" si="107"/>
        <v>1</v>
      </c>
      <c r="BK90">
        <f t="shared" si="108"/>
        <v>1</v>
      </c>
    </row>
    <row r="91" spans="1:63" x14ac:dyDescent="0.2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517</v>
      </c>
      <c r="C91" t="str">
        <f>IF(A91&gt;0,INDEX(original!$A$2:$K$1500,B91,2),0)</f>
        <v>Sulfanilamide 4</v>
      </c>
      <c r="D91">
        <f>IF(A91&gt;0,INDEX(original!$A$2:$K$1500,B91,3),0)</f>
        <v>0.69699999999999995</v>
      </c>
      <c r="E91">
        <f>IF(A91&gt;0,IF(INDEX(original!$P$2:$P$1500,B91+1)=2,INDEX(original!$A$2:$K$1500,B91+1,5),1000000),0)</f>
        <v>5218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4204</v>
      </c>
      <c r="G91">
        <f>IF(A91&gt;0,IF(INDEX(original!$P$2:$P$1500,B91+2)=3,INDEX(original!$A$2:$K$1500,B91+2,9),0.001),0)</f>
        <v>79.447999999999993</v>
      </c>
      <c r="H91">
        <f>IF(A91&gt;0,IF(INDEX(original!$P$2:$P$1500,B91+2)=4,INDEX(original!$A$2:$K$1500,B91+2,9),IF(INDEX(original!$P$2:$P$1500,B91+3)=4,INDEX(original!$A$2:$K$1500,B91+3,9),0.0001)),0)</f>
        <v>18.178999999999998</v>
      </c>
      <c r="I91">
        <f>IF(A91&gt;0,IF(INDEX(original!$P$2:$P$1500,B91+2)=3,INDEX(original!$A$2:$K$1500,B91+2,10),0.001),)</f>
        <v>-0.70599999999999996</v>
      </c>
      <c r="J91">
        <f>IF(A91&gt;0,IF(INDEX(original!$P$2:$P$1500,B91+2)=4,INDEX(original!$A$2:$K$1500,B91+2,11),IF(INDEX(original!$P$2:$P$1500,B91+3)=4,INDEX(original!$A$2:$K$1500,B91+3,11),0.001)),0)</f>
        <v>-16.917999999999999</v>
      </c>
      <c r="R91">
        <f t="shared" si="96"/>
        <v>79.476548294365642</v>
      </c>
      <c r="S91">
        <f t="shared" si="95"/>
        <v>18.191882557286711</v>
      </c>
      <c r="AD91" t="str">
        <f t="shared" si="97"/>
        <v>Sulfanilamide 4</v>
      </c>
      <c r="AE91">
        <f t="shared" si="98"/>
        <v>78.045792873151939</v>
      </c>
      <c r="AF91">
        <f t="shared" si="99"/>
        <v>18.96353417523752</v>
      </c>
      <c r="AG91">
        <f t="shared" si="100"/>
        <v>-0.44012417927082303</v>
      </c>
      <c r="AH91">
        <f t="shared" si="101"/>
        <v>-17.306900773813609</v>
      </c>
      <c r="AW91" t="str">
        <f t="shared" si="102"/>
        <v>Sulfanilamide 4</v>
      </c>
      <c r="AX91">
        <f t="shared" si="103"/>
        <v>16.263519530627917</v>
      </c>
      <c r="AY91">
        <f t="shared" si="106"/>
        <v>41.872892964312975</v>
      </c>
      <c r="AZ91">
        <f t="shared" si="104"/>
        <v>-2.6285125326661882</v>
      </c>
      <c r="BA91">
        <f t="shared" si="105"/>
        <v>-29.021868297817946</v>
      </c>
      <c r="BJ91">
        <f t="shared" si="107"/>
        <v>1</v>
      </c>
      <c r="BK91">
        <f t="shared" si="108"/>
        <v>1</v>
      </c>
    </row>
    <row r="92" spans="1:63" x14ac:dyDescent="0.2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523</v>
      </c>
      <c r="C92" t="str">
        <f>IF(A92&gt;0,INDEX(original!$A$2:$K$1500,B92,2),0)</f>
        <v>Glycine 6</v>
      </c>
      <c r="D92">
        <f>IF(A92&gt;0,INDEX(original!$A$2:$K$1500,B92,3),0)</f>
        <v>0.69799999999999995</v>
      </c>
      <c r="E92">
        <f>IF(A92&gt;0,IF(INDEX(original!$P$2:$P$1500,B92+1)=2,INDEX(original!$A$2:$K$1500,B92+1,5),1000000),0)</f>
        <v>5221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4206</v>
      </c>
      <c r="G92">
        <f>IF(A92&gt;0,IF(INDEX(original!$P$2:$P$1500,B92+2)=3,INDEX(original!$A$2:$K$1500,B92+2,9),0.001),0)</f>
        <v>90.71</v>
      </c>
      <c r="H92">
        <f>IF(A92&gt;0,IF(INDEX(original!$P$2:$P$1500,B92+2)=4,INDEX(original!$A$2:$K$1500,B92+2,9),IF(INDEX(original!$P$2:$P$1500,B92+3)=4,INDEX(original!$A$2:$K$1500,B92+3,9),0.0001)),0)</f>
        <v>13.818</v>
      </c>
      <c r="I92">
        <f>IF(A92&gt;0,IF(INDEX(original!$P$2:$P$1500,B92+2)=3,INDEX(original!$A$2:$K$1500,B92+2,10),0.001),)</f>
        <v>6.56</v>
      </c>
      <c r="J92">
        <f>IF(A92&gt;0,IF(INDEX(original!$P$2:$P$1500,B92+2)=4,INDEX(original!$A$2:$K$1500,B92+2,11),IF(INDEX(original!$P$2:$P$1500,B92+3)=4,INDEX(original!$A$2:$K$1500,B92+3,11),0.001)),0)</f>
        <v>-27.977</v>
      </c>
      <c r="R92">
        <f t="shared" si="96"/>
        <v>90.690454175445311</v>
      </c>
      <c r="S92">
        <f t="shared" si="95"/>
        <v>13.821216862815026</v>
      </c>
      <c r="AD92" t="str">
        <f t="shared" si="97"/>
        <v>Glycine 6</v>
      </c>
      <c r="AE92">
        <f t="shared" si="98"/>
        <v>88.807635669706201</v>
      </c>
      <c r="AF92">
        <f t="shared" si="99"/>
        <v>14.536198885451656</v>
      </c>
      <c r="AG92">
        <f t="shared" si="100"/>
        <v>6.9276587168422434</v>
      </c>
      <c r="AH92">
        <f t="shared" si="101"/>
        <v>-28.388250359756398</v>
      </c>
      <c r="AW92" t="str">
        <f t="shared" si="102"/>
        <v>Glycine 6</v>
      </c>
      <c r="AX92">
        <f t="shared" si="103"/>
        <v>18.495801924801111</v>
      </c>
      <c r="AY92">
        <f t="shared" si="106"/>
        <v>32.067942316613554</v>
      </c>
      <c r="AZ92">
        <f t="shared" si="104"/>
        <v>4.7882195570700965</v>
      </c>
      <c r="BA92">
        <f t="shared" si="105"/>
        <v>-40.14244340764035</v>
      </c>
      <c r="BJ92">
        <f t="shared" si="107"/>
        <v>1</v>
      </c>
      <c r="BK92">
        <f t="shared" si="108"/>
        <v>1</v>
      </c>
    </row>
    <row r="93" spans="1:63" x14ac:dyDescent="0.2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529</v>
      </c>
      <c r="C93" t="str">
        <f>IF(A93&gt;0,INDEX(original!$A$2:$K$1500,B93,2),0)</f>
        <v>Methionine 10</v>
      </c>
      <c r="D93">
        <f>IF(A93&gt;0,INDEX(original!$A$2:$K$1500,B93,3),0)</f>
        <v>0.70099999999999996</v>
      </c>
      <c r="E93">
        <f>IF(A93&gt;0,IF(INDEX(original!$P$2:$P$1500,B93+1)=2,INDEX(original!$A$2:$K$1500,B93+1,5),1000000),0)</f>
        <v>5220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4205</v>
      </c>
      <c r="G93">
        <f>IF(A93&gt;0,IF(INDEX(original!$P$2:$P$1500,B93+2)=3,INDEX(original!$A$2:$K$1500,B93+2,9),0.001),0)</f>
        <v>45.863999999999997</v>
      </c>
      <c r="H93">
        <f>IF(A93&gt;0,IF(INDEX(original!$P$2:$P$1500,B93+2)=4,INDEX(original!$A$2:$K$1500,B93+2,9),IF(INDEX(original!$P$2:$P$1500,B93+3)=4,INDEX(original!$A$2:$K$1500,B93+3,9),0.0001)),0)</f>
        <v>17.481000000000002</v>
      </c>
      <c r="I93">
        <f>IF(A93&gt;0,IF(INDEX(original!$P$2:$P$1500,B93+2)=3,INDEX(original!$A$2:$K$1500,B93+2,10),0.001),)</f>
        <v>0.47799999999999998</v>
      </c>
      <c r="J93">
        <f>IF(A93&gt;0,IF(INDEX(original!$P$2:$P$1500,B93+2)=4,INDEX(original!$A$2:$K$1500,B93+2,11),IF(INDEX(original!$P$2:$P$1500,B93+3)=4,INDEX(original!$A$2:$K$1500,B93+3,11),0.001)),0)</f>
        <v>-17.201000000000001</v>
      </c>
      <c r="R93">
        <f t="shared" si="96"/>
        <v>45.862901724137927</v>
      </c>
      <c r="S93">
        <f t="shared" si="95"/>
        <v>17.489227779429253</v>
      </c>
      <c r="AD93" t="str">
        <f t="shared" si="97"/>
        <v>Methionine 10</v>
      </c>
      <c r="AE93">
        <f t="shared" si="98"/>
        <v>45.878621315609429</v>
      </c>
      <c r="AF93">
        <f t="shared" si="99"/>
        <v>18.256196878692165</v>
      </c>
      <c r="AG93">
        <f t="shared" si="100"/>
        <v>0.3555504359605095</v>
      </c>
      <c r="AH93">
        <f t="shared" si="101"/>
        <v>-17.593500067607934</v>
      </c>
      <c r="AR93" t="s">
        <v>202</v>
      </c>
      <c r="AS93" s="4" t="s">
        <v>236</v>
      </c>
      <c r="AW93" t="str">
        <f t="shared" si="102"/>
        <v>Methionine 10</v>
      </c>
      <c r="AX93">
        <f t="shared" si="103"/>
        <v>9.4564442711962808</v>
      </c>
      <c r="AY93">
        <f t="shared" si="106"/>
        <v>40.084106094070876</v>
      </c>
      <c r="AZ93">
        <f t="shared" si="104"/>
        <v>-1.8275517097179339</v>
      </c>
      <c r="BA93">
        <f t="shared" si="105"/>
        <v>-29.309482089652914</v>
      </c>
      <c r="BJ93">
        <f t="shared" si="107"/>
        <v>1</v>
      </c>
      <c r="BK93">
        <f t="shared" si="108"/>
        <v>1</v>
      </c>
    </row>
    <row r="94" spans="1:63" x14ac:dyDescent="0.2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535</v>
      </c>
      <c r="C94" t="str">
        <f>IF(A94&gt;0,INDEX(original!$A$2:$K$1500,B94,2),0)</f>
        <v>USGS-40</v>
      </c>
      <c r="D94">
        <f>IF(A94&gt;0,INDEX(original!$A$2:$K$1500,B94,3),0)</f>
        <v>0.69899999999999995</v>
      </c>
      <c r="E94">
        <f>IF(A94&gt;0,IF(INDEX(original!$P$2:$P$1500,B94+1)=2,INDEX(original!$A$2:$K$1500,B94+1,5),1000000),0)</f>
        <v>5218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4201</v>
      </c>
      <c r="G94">
        <f>IF(A94&gt;0,IF(INDEX(original!$P$2:$P$1500,B94+2)=3,INDEX(original!$A$2:$K$1500,B94+2,9),0.001),0)</f>
        <v>46.219000000000001</v>
      </c>
      <c r="H94">
        <f>IF(A94&gt;0,IF(INDEX(original!$P$2:$P$1500,B94+2)=4,INDEX(original!$A$2:$K$1500,B94+2,9),IF(INDEX(original!$P$2:$P$1500,B94+3)=4,INDEX(original!$A$2:$K$1500,B94+3,9),0.0001)),0)</f>
        <v>17.693000000000001</v>
      </c>
      <c r="I94">
        <f>IF(A94&gt;0,IF(INDEX(original!$P$2:$P$1500,B94+2)=3,INDEX(original!$A$2:$K$1500,B94+2,10),0.001),)</f>
        <v>-2.2360000000000002</v>
      </c>
      <c r="J94">
        <f>IF(A94&gt;0,IF(INDEX(original!$P$2:$P$1500,B94+2)=4,INDEX(original!$A$2:$K$1500,B94+2,11),IF(INDEX(original!$P$2:$P$1500,B94+3)=4,INDEX(original!$A$2:$K$1500,B94+3,11),0.001)),0)</f>
        <v>-14.201000000000001</v>
      </c>
      <c r="R94">
        <f t="shared" si="96"/>
        <v>46.235608015523191</v>
      </c>
      <c r="S94">
        <f t="shared" si="95"/>
        <v>17.718181955685157</v>
      </c>
      <c r="AD94" t="str">
        <f t="shared" si="97"/>
        <v>USGS-40</v>
      </c>
      <c r="AE94">
        <f t="shared" si="98"/>
        <v>46.238045983593771</v>
      </c>
      <c r="AF94">
        <f t="shared" si="99"/>
        <v>18.486853813865618</v>
      </c>
      <c r="AG94">
        <f t="shared" si="100"/>
        <v>-2.3534595009789783</v>
      </c>
      <c r="AH94">
        <f t="shared" si="101"/>
        <v>-14.592327530381016</v>
      </c>
      <c r="AR94" t="s">
        <v>204</v>
      </c>
      <c r="AS94" t="s">
        <v>205</v>
      </c>
      <c r="AT94" t="s">
        <v>206</v>
      </c>
      <c r="AW94" t="str">
        <f t="shared" si="102"/>
        <v>USGS-40</v>
      </c>
      <c r="AX94">
        <f t="shared" si="103"/>
        <v>9.5590714145129603</v>
      </c>
      <c r="AY94">
        <f t="shared" si="106"/>
        <v>40.705565170278533</v>
      </c>
      <c r="AZ94">
        <f t="shared" si="104"/>
        <v>-4.5545594424394373</v>
      </c>
      <c r="BA94">
        <f t="shared" si="105"/>
        <v>-26.297686066169849</v>
      </c>
      <c r="BJ94">
        <f t="shared" si="107"/>
        <v>1</v>
      </c>
      <c r="BK94">
        <f t="shared" si="108"/>
        <v>1</v>
      </c>
    </row>
    <row r="95" spans="1:63" x14ac:dyDescent="0.2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541</v>
      </c>
      <c r="C95" t="str">
        <f>IF(A95&gt;0,INDEX(original!$A$2:$K$1500,B95,2),0)</f>
        <v>Peach leaves @ 2.0</v>
      </c>
      <c r="D95">
        <f>IF(A95&gt;0,INDEX(original!$A$2:$K$1500,B95,3),0)</f>
        <v>1.998</v>
      </c>
      <c r="E95">
        <f>IF(A95&gt;0,IF(INDEX(original!$P$2:$P$1500,B95+1)=2,INDEX(original!$A$2:$K$1500,B95+1,5),1000000),0)</f>
        <v>5212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4199</v>
      </c>
      <c r="G95">
        <f>IF(A95&gt;0,IF(INDEX(original!$P$2:$P$1500,B95+2)=3,INDEX(original!$A$2:$K$1500,B95+2,9),0.001),0)</f>
        <v>40.968000000000004</v>
      </c>
      <c r="H95">
        <f>IF(A95&gt;0,IF(INDEX(original!$P$2:$P$1500,B95+2)=4,INDEX(original!$A$2:$K$1500,B95+2,9),IF(INDEX(original!$P$2:$P$1500,B95+3)=4,INDEX(original!$A$2:$K$1500,B95+3,9),0.0001)),0)</f>
        <v>59.521000000000001</v>
      </c>
      <c r="I95">
        <f>IF(A95&gt;0,IF(INDEX(original!$P$2:$P$1500,B95+2)=3,INDEX(original!$A$2:$K$1500,B95+2,10),0.001),)</f>
        <v>4.2789999999999999</v>
      </c>
      <c r="J95">
        <f>IF(A95&gt;0,IF(INDEX(original!$P$2:$P$1500,B95+2)=4,INDEX(original!$A$2:$K$1500,B95+2,11),IF(INDEX(original!$P$2:$P$1500,B95+3)=4,INDEX(original!$A$2:$K$1500,B95+3,11),0.001)),0)</f>
        <v>-14.185</v>
      </c>
      <c r="R95">
        <f t="shared" si="96"/>
        <v>41.029900038372986</v>
      </c>
      <c r="S95">
        <f t="shared" si="95"/>
        <v>59.634105020044458</v>
      </c>
      <c r="AD95" t="str">
        <f t="shared" si="97"/>
        <v>Peach leaves @ 2.0</v>
      </c>
      <c r="AE95">
        <f t="shared" si="98"/>
        <v>41.205857029635553</v>
      </c>
      <c r="AF95">
        <f t="shared" si="99"/>
        <v>60.063468613623563</v>
      </c>
      <c r="AG95">
        <f t="shared" si="100"/>
        <v>4.090452983708083</v>
      </c>
      <c r="AH95">
        <f t="shared" si="101"/>
        <v>-14.357388610587238</v>
      </c>
      <c r="AR95" t="str">
        <f t="shared" ref="AR95:AR100" si="112">AJ72</f>
        <v>USGS-40</v>
      </c>
      <c r="AS95">
        <f>IF(AK72=FALSE,0,(AK72-AL72*AO$83-AO$84)^2)</f>
        <v>2.9375705406864002E-3</v>
      </c>
      <c r="AT95">
        <f>IF(AK72=FALSE,0,(AK72-AVERAGE($AK$72:$AK$77,$AK$79))^2)</f>
        <v>376.57865466615129</v>
      </c>
      <c r="AW95" t="str">
        <f t="shared" si="102"/>
        <v>Peach leaves @ 2.0</v>
      </c>
      <c r="AX95">
        <f t="shared" si="103"/>
        <v>2.9244582582358625</v>
      </c>
      <c r="AY95">
        <f t="shared" si="106"/>
        <v>46.258372708892907</v>
      </c>
      <c r="AZ95">
        <f t="shared" si="104"/>
        <v>1.932164336276174</v>
      </c>
      <c r="BA95">
        <f t="shared" si="105"/>
        <v>-26.061915514620644</v>
      </c>
      <c r="BJ95">
        <f t="shared" si="107"/>
        <v>1</v>
      </c>
      <c r="BK95">
        <f t="shared" si="108"/>
        <v>1</v>
      </c>
    </row>
    <row r="96" spans="1:63" x14ac:dyDescent="0.2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547</v>
      </c>
      <c r="C96" t="str">
        <f>IF(A96&gt;0,INDEX(original!$A$2:$K$1500,B96,2),0)</f>
        <v>USGS-41</v>
      </c>
      <c r="D96">
        <f>IF(A96&gt;0,INDEX(original!$A$2:$K$1500,B96,3),0)</f>
        <v>0.499</v>
      </c>
      <c r="E96">
        <f>IF(A96&gt;0,IF(INDEX(original!$P$2:$P$1500,B96+1)=2,INDEX(original!$A$2:$K$1500,B96+1,5),1000000),0)</f>
        <v>5212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4196</v>
      </c>
      <c r="G96">
        <f>IF(A96&gt;0,IF(INDEX(original!$P$2:$P$1500,B96+2)=3,INDEX(original!$A$2:$K$1500,B96+2,9),0.001),0)</f>
        <v>33.328000000000003</v>
      </c>
      <c r="H96">
        <f>IF(A96&gt;0,IF(INDEX(original!$P$2:$P$1500,B96+2)=4,INDEX(original!$A$2:$K$1500,B96+2,9),IF(INDEX(original!$P$2:$P$1500,B96+3)=4,INDEX(original!$A$2:$K$1500,B96+3,9),0.0001)),0)</f>
        <v>12.752000000000001</v>
      </c>
      <c r="I96">
        <f>IF(A96&gt;0,IF(INDEX(original!$P$2:$P$1500,B96+2)=3,INDEX(original!$A$2:$K$1500,B96+2,10),0.001),)</f>
        <v>49.718000000000004</v>
      </c>
      <c r="J96">
        <f>IF(A96&gt;0,IF(INDEX(original!$P$2:$P$1500,B96+2)=4,INDEX(original!$A$2:$K$1500,B96+2,11),IF(INDEX(original!$P$2:$P$1500,B96+3)=4,INDEX(original!$A$2:$K$1500,B96+3,11),0.001)),0)</f>
        <v>49.527000000000001</v>
      </c>
      <c r="R96">
        <f t="shared" si="96"/>
        <v>33.378356485034537</v>
      </c>
      <c r="S96">
        <f t="shared" si="95"/>
        <v>12.785366619002225</v>
      </c>
      <c r="AD96" t="str">
        <f t="shared" si="97"/>
        <v>USGS-41</v>
      </c>
      <c r="AE96">
        <f t="shared" si="98"/>
        <v>33.753936642200742</v>
      </c>
      <c r="AF96">
        <f t="shared" si="99"/>
        <v>13.476704308429085</v>
      </c>
      <c r="AG96">
        <f t="shared" si="100"/>
        <v>49.41953184814637</v>
      </c>
      <c r="AH96">
        <f t="shared" si="101"/>
        <v>49.110466331508448</v>
      </c>
      <c r="AR96" t="str">
        <f t="shared" si="112"/>
        <v>USGS-41</v>
      </c>
      <c r="AS96">
        <f t="shared" ref="AS96:AS100" si="113">IF(AK73=FALSE,0,(AK73-AL73*AO$83-AO$84)^2)</f>
        <v>5.7073534502013024E-5</v>
      </c>
      <c r="AT96">
        <f t="shared" ref="AT96:AT100" si="114">IF(AK73=FALSE,0,(AK73-AVERAGE($AK$72:$AK$77,$AK$79))^2)</f>
        <v>1047.6457821955382</v>
      </c>
      <c r="AW96" t="str">
        <f t="shared" si="102"/>
        <v>USGS-41</v>
      </c>
      <c r="AX96">
        <f t="shared" si="103"/>
        <v>9.7776969826188047</v>
      </c>
      <c r="AY96">
        <f t="shared" si="106"/>
        <v>41.565705748610675</v>
      </c>
      <c r="AZ96">
        <f t="shared" si="104"/>
        <v>47.562395106163265</v>
      </c>
      <c r="BA96">
        <f t="shared" si="105"/>
        <v>37.63060158079049</v>
      </c>
      <c r="BJ96">
        <f t="shared" si="107"/>
        <v>1</v>
      </c>
      <c r="BK96">
        <f t="shared" si="108"/>
        <v>1</v>
      </c>
    </row>
    <row r="97" spans="1:63" x14ac:dyDescent="0.2">
      <c r="A97">
        <f>IF(OR(A96+1&gt;original!$X$2,A96=0),0,A96+1)</f>
        <v>96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553</v>
      </c>
      <c r="C97" t="str">
        <f>IF(A97&gt;0,INDEX(original!$A$2:$K$1500,B97,2),0)</f>
        <v>BRS8</v>
      </c>
      <c r="D97">
        <f>IF(A97&gt;0,INDEX(original!$A$2:$K$1500,B97,3),0)</f>
        <v>12.002000000000001</v>
      </c>
      <c r="E97">
        <f>IF(A97&gt;0,IF(INDEX(original!$P$2:$P$1500,B97+1)=2,INDEX(original!$A$2:$K$1500,B97+1,5),1000000),0)</f>
        <v>5209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4192</v>
      </c>
      <c r="G97">
        <f>IF(A97&gt;0,IF(INDEX(original!$P$2:$P$1500,B97+2)=3,INDEX(original!$A$2:$K$1500,B97+2,9),0.001),0)</f>
        <v>16.419</v>
      </c>
      <c r="H97">
        <f>IF(A97&gt;0,IF(INDEX(original!$P$2:$P$1500,B97+2)=4,INDEX(original!$A$2:$K$1500,B97+2,9),IF(INDEX(original!$P$2:$P$1500,B97+3)=4,INDEX(original!$A$2:$K$1500,B97+3,9),0.0001)),0)</f>
        <v>24.417000000000002</v>
      </c>
      <c r="I97">
        <f>IF(A97&gt;0,IF(INDEX(original!$P$2:$P$1500,B97+2)=3,INDEX(original!$A$2:$K$1500,B97+2,10),0.001),)</f>
        <v>5.8170000000000002</v>
      </c>
      <c r="J97">
        <f>IF(A97&gt;0,IF(INDEX(original!$P$2:$P$1500,B97+2)=4,INDEX(original!$A$2:$K$1500,B97+2,11),IF(INDEX(original!$P$2:$P$1500,B97+3)=4,INDEX(original!$A$2:$K$1500,B97+3,11),0.001)),0)</f>
        <v>-7.4909999999999997</v>
      </c>
      <c r="R97">
        <f t="shared" si="96"/>
        <v>16.453278484354005</v>
      </c>
      <c r="S97">
        <f t="shared" si="95"/>
        <v>24.504248643249049</v>
      </c>
      <c r="AD97" t="str">
        <f t="shared" si="97"/>
        <v>BRS8</v>
      </c>
      <c r="AE97">
        <f t="shared" si="98"/>
        <v>16.945992256934996</v>
      </c>
      <c r="AF97">
        <f t="shared" si="99"/>
        <v>25.252105909471613</v>
      </c>
      <c r="AG97">
        <f t="shared" si="100"/>
        <v>5.2524119684110211</v>
      </c>
      <c r="AH97">
        <f t="shared" si="101"/>
        <v>-7.8474589910309884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 t="str">
        <f t="shared" si="102"/>
        <v>BRS8</v>
      </c>
      <c r="AX97">
        <f t="shared" si="103"/>
        <v>0.19929206293075694</v>
      </c>
      <c r="AY97">
        <f t="shared" si="106"/>
        <v>3.3046530840707082</v>
      </c>
      <c r="AZ97">
        <f t="shared" si="104"/>
        <v>3.1018430049229031</v>
      </c>
      <c r="BA97">
        <f t="shared" si="105"/>
        <v>-19.528942185652824</v>
      </c>
      <c r="BJ97">
        <f t="shared" si="107"/>
        <v>1</v>
      </c>
      <c r="BK97">
        <f t="shared" si="108"/>
        <v>1</v>
      </c>
    </row>
    <row r="98" spans="1:63" x14ac:dyDescent="0.2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6"/>
        <v>0</v>
      </c>
      <c r="S98">
        <f t="shared" si="95"/>
        <v>0</v>
      </c>
      <c r="AD98">
        <f t="shared" si="97"/>
        <v>0</v>
      </c>
      <c r="AE98">
        <f t="shared" si="98"/>
        <v>0</v>
      </c>
      <c r="AF98">
        <f t="shared" si="99"/>
        <v>0</v>
      </c>
      <c r="AG98">
        <f t="shared" si="100"/>
        <v>0</v>
      </c>
      <c r="AH98">
        <f t="shared" si="101"/>
        <v>0</v>
      </c>
      <c r="AR98" t="str">
        <f t="shared" si="112"/>
        <v>Peach</v>
      </c>
      <c r="AS98">
        <f t="shared" si="113"/>
        <v>3.8135641777770905E-3</v>
      </c>
      <c r="AT98">
        <f t="shared" si="114"/>
        <v>168.00624048677054</v>
      </c>
      <c r="AW98">
        <f t="shared" si="102"/>
        <v>0</v>
      </c>
      <c r="AX98">
        <f t="shared" si="103"/>
        <v>0</v>
      </c>
      <c r="AY98">
        <f t="shared" si="106"/>
        <v>0</v>
      </c>
      <c r="AZ98">
        <f t="shared" si="104"/>
        <v>0</v>
      </c>
      <c r="BA98">
        <f t="shared" si="105"/>
        <v>0</v>
      </c>
      <c r="BJ98">
        <f t="shared" si="107"/>
        <v>0</v>
      </c>
      <c r="BK98">
        <f t="shared" si="108"/>
        <v>0</v>
      </c>
    </row>
    <row r="99" spans="1:63" x14ac:dyDescent="0.2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6"/>
        <v>0</v>
      </c>
      <c r="S99">
        <f t="shared" si="95"/>
        <v>0</v>
      </c>
      <c r="AD99">
        <f t="shared" si="97"/>
        <v>0</v>
      </c>
      <c r="AE99">
        <f t="shared" si="98"/>
        <v>0</v>
      </c>
      <c r="AF99">
        <f t="shared" si="99"/>
        <v>0</v>
      </c>
      <c r="AG99">
        <f t="shared" si="100"/>
        <v>0</v>
      </c>
      <c r="AH99">
        <f t="shared" si="101"/>
        <v>0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>
        <f t="shared" si="102"/>
        <v>0</v>
      </c>
      <c r="AX99">
        <f t="shared" si="103"/>
        <v>0</v>
      </c>
      <c r="AY99">
        <f t="shared" si="106"/>
        <v>0</v>
      </c>
      <c r="AZ99">
        <f t="shared" si="104"/>
        <v>0</v>
      </c>
      <c r="BA99">
        <f t="shared" si="105"/>
        <v>0</v>
      </c>
      <c r="BJ99">
        <f t="shared" si="107"/>
        <v>0</v>
      </c>
      <c r="BK99">
        <f t="shared" si="108"/>
        <v>0</v>
      </c>
    </row>
    <row r="100" spans="1:63" x14ac:dyDescent="0.2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6"/>
        <v>0</v>
      </c>
      <c r="S100">
        <f t="shared" si="95"/>
        <v>0</v>
      </c>
      <c r="AD100">
        <f t="shared" si="97"/>
        <v>0</v>
      </c>
      <c r="AE100">
        <f t="shared" si="98"/>
        <v>0</v>
      </c>
      <c r="AF100">
        <f t="shared" si="99"/>
        <v>0</v>
      </c>
      <c r="AG100">
        <f t="shared" si="100"/>
        <v>0</v>
      </c>
      <c r="AH100">
        <f t="shared" si="101"/>
        <v>0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>
        <f t="shared" si="102"/>
        <v>0</v>
      </c>
      <c r="AX100">
        <f t="shared" si="103"/>
        <v>0</v>
      </c>
      <c r="AY100">
        <f t="shared" si="106"/>
        <v>0</v>
      </c>
      <c r="AZ100">
        <f t="shared" si="104"/>
        <v>0</v>
      </c>
      <c r="BA100">
        <f t="shared" si="105"/>
        <v>0</v>
      </c>
      <c r="BJ100">
        <f t="shared" si="107"/>
        <v>0</v>
      </c>
      <c r="BK100">
        <f t="shared" si="108"/>
        <v>0</v>
      </c>
    </row>
    <row r="101" spans="1:63" x14ac:dyDescent="0.2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6"/>
        <v>0</v>
      </c>
      <c r="S101">
        <f t="shared" si="95"/>
        <v>0</v>
      </c>
      <c r="AD101">
        <f t="shared" si="97"/>
        <v>0</v>
      </c>
      <c r="AE101">
        <f t="shared" si="98"/>
        <v>0</v>
      </c>
      <c r="AF101">
        <f t="shared" si="99"/>
        <v>0</v>
      </c>
      <c r="AG101">
        <f t="shared" si="100"/>
        <v>0</v>
      </c>
      <c r="AH101">
        <f t="shared" si="101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2"/>
        <v>0</v>
      </c>
      <c r="AX101">
        <f t="shared" si="103"/>
        <v>0</v>
      </c>
      <c r="AY101">
        <f t="shared" si="106"/>
        <v>0</v>
      </c>
      <c r="AZ101">
        <f t="shared" si="104"/>
        <v>0</v>
      </c>
      <c r="BA101">
        <f t="shared" si="105"/>
        <v>0</v>
      </c>
      <c r="BJ101">
        <f t="shared" si="107"/>
        <v>0</v>
      </c>
      <c r="BK101">
        <f t="shared" si="108"/>
        <v>0</v>
      </c>
    </row>
    <row r="102" spans="1:63" x14ac:dyDescent="0.2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6"/>
        <v>0</v>
      </c>
      <c r="S102">
        <f t="shared" si="95"/>
        <v>0</v>
      </c>
      <c r="AD102">
        <f t="shared" si="97"/>
        <v>0</v>
      </c>
      <c r="AE102">
        <f t="shared" si="98"/>
        <v>0</v>
      </c>
      <c r="AF102">
        <f t="shared" si="99"/>
        <v>0</v>
      </c>
      <c r="AG102">
        <f t="shared" si="100"/>
        <v>0</v>
      </c>
      <c r="AH102">
        <f t="shared" si="101"/>
        <v>0</v>
      </c>
      <c r="AW102">
        <f t="shared" si="102"/>
        <v>0</v>
      </c>
      <c r="AX102">
        <f t="shared" si="103"/>
        <v>0</v>
      </c>
      <c r="AY102">
        <f t="shared" si="106"/>
        <v>0</v>
      </c>
      <c r="AZ102">
        <f t="shared" si="104"/>
        <v>0</v>
      </c>
      <c r="BA102">
        <f t="shared" si="105"/>
        <v>0</v>
      </c>
      <c r="BJ102">
        <f t="shared" si="107"/>
        <v>0</v>
      </c>
      <c r="BK102">
        <f t="shared" si="108"/>
        <v>0</v>
      </c>
    </row>
    <row r="103" spans="1:63" x14ac:dyDescent="0.2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6"/>
        <v>0</v>
      </c>
      <c r="S103">
        <f t="shared" si="95"/>
        <v>0</v>
      </c>
      <c r="AD103">
        <f t="shared" si="97"/>
        <v>0</v>
      </c>
      <c r="AE103">
        <f t="shared" si="98"/>
        <v>0</v>
      </c>
      <c r="AF103">
        <f t="shared" si="99"/>
        <v>0</v>
      </c>
      <c r="AG103">
        <f t="shared" si="100"/>
        <v>0</v>
      </c>
      <c r="AH103">
        <f t="shared" si="101"/>
        <v>0</v>
      </c>
      <c r="AW103">
        <f t="shared" si="102"/>
        <v>0</v>
      </c>
      <c r="AX103">
        <f t="shared" si="103"/>
        <v>0</v>
      </c>
      <c r="AY103">
        <f t="shared" si="106"/>
        <v>0</v>
      </c>
      <c r="AZ103">
        <f t="shared" si="104"/>
        <v>0</v>
      </c>
      <c r="BA103">
        <f t="shared" si="105"/>
        <v>0</v>
      </c>
      <c r="BJ103">
        <f t="shared" si="107"/>
        <v>0</v>
      </c>
      <c r="BK103">
        <f t="shared" si="108"/>
        <v>0</v>
      </c>
    </row>
    <row r="104" spans="1:63" x14ac:dyDescent="0.2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6"/>
        <v>0</v>
      </c>
      <c r="S104">
        <f t="shared" si="95"/>
        <v>0</v>
      </c>
      <c r="AD104">
        <f t="shared" si="97"/>
        <v>0</v>
      </c>
      <c r="AE104">
        <f t="shared" si="98"/>
        <v>0</v>
      </c>
      <c r="AF104">
        <f t="shared" si="99"/>
        <v>0</v>
      </c>
      <c r="AG104">
        <f t="shared" si="100"/>
        <v>0</v>
      </c>
      <c r="AH104">
        <f t="shared" si="101"/>
        <v>0</v>
      </c>
      <c r="AJ104" t="s">
        <v>123</v>
      </c>
      <c r="AK104" t="s">
        <v>178</v>
      </c>
      <c r="AL104" t="s">
        <v>179</v>
      </c>
      <c r="AS104" s="4" t="s">
        <v>235</v>
      </c>
      <c r="AT104" s="4" t="s">
        <v>236</v>
      </c>
      <c r="AW104">
        <f t="shared" si="102"/>
        <v>0</v>
      </c>
      <c r="AX104">
        <f t="shared" si="103"/>
        <v>0</v>
      </c>
      <c r="AY104">
        <f t="shared" si="106"/>
        <v>0</v>
      </c>
      <c r="AZ104">
        <f t="shared" si="104"/>
        <v>0</v>
      </c>
      <c r="BA104">
        <f t="shared" si="105"/>
        <v>0</v>
      </c>
      <c r="BJ104">
        <f t="shared" si="107"/>
        <v>0</v>
      </c>
      <c r="BK104">
        <f t="shared" si="108"/>
        <v>0</v>
      </c>
    </row>
    <row r="105" spans="1:63" x14ac:dyDescent="0.2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6"/>
        <v>0</v>
      </c>
      <c r="S105">
        <f t="shared" si="95"/>
        <v>0</v>
      </c>
      <c r="AD105">
        <f t="shared" si="97"/>
        <v>0</v>
      </c>
      <c r="AE105">
        <f t="shared" si="98"/>
        <v>0</v>
      </c>
      <c r="AF105">
        <f t="shared" si="99"/>
        <v>0</v>
      </c>
      <c r="AG105">
        <f t="shared" si="100"/>
        <v>0</v>
      </c>
      <c r="AH105">
        <f t="shared" si="101"/>
        <v>0</v>
      </c>
      <c r="AJ105" s="13" t="s">
        <v>181</v>
      </c>
      <c r="AK105" s="4" t="s">
        <v>238</v>
      </c>
      <c r="AL105" s="4" t="s">
        <v>239</v>
      </c>
      <c r="AR105" t="s">
        <v>190</v>
      </c>
      <c r="AS105">
        <f>COUNT(AK106:AK111)</f>
        <v>3</v>
      </c>
      <c r="AT105">
        <f>COUNT(AK106:AK109)</f>
        <v>3</v>
      </c>
      <c r="AW105">
        <f t="shared" si="102"/>
        <v>0</v>
      </c>
      <c r="AX105">
        <f t="shared" si="103"/>
        <v>0</v>
      </c>
      <c r="AY105">
        <f t="shared" si="106"/>
        <v>0</v>
      </c>
      <c r="AZ105">
        <f t="shared" si="104"/>
        <v>0</v>
      </c>
      <c r="BA105">
        <f t="shared" si="105"/>
        <v>0</v>
      </c>
      <c r="BJ105">
        <f t="shared" si="107"/>
        <v>0</v>
      </c>
      <c r="BK105">
        <f t="shared" si="108"/>
        <v>0</v>
      </c>
    </row>
    <row r="106" spans="1:63" x14ac:dyDescent="0.2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6"/>
        <v>0</v>
      </c>
      <c r="S106">
        <f t="shared" si="95"/>
        <v>0</v>
      </c>
      <c r="AD106">
        <f t="shared" si="97"/>
        <v>0</v>
      </c>
      <c r="AE106">
        <f t="shared" si="98"/>
        <v>0</v>
      </c>
      <c r="AF106">
        <f t="shared" si="99"/>
        <v>0</v>
      </c>
      <c r="AG106">
        <f t="shared" si="100"/>
        <v>0</v>
      </c>
      <c r="AH106">
        <f t="shared" si="101"/>
        <v>0</v>
      </c>
      <c r="AJ106" t="s">
        <v>103</v>
      </c>
      <c r="AK106">
        <f>IF(M32&gt;0,INDEX($AE$2:$AH$1500,M32,4))</f>
        <v>-14.592327530381016</v>
      </c>
      <c r="AL106">
        <f>IF(M32&gt;0,-26.389)</f>
        <v>-26.388999999999999</v>
      </c>
      <c r="AR106" t="s">
        <v>192</v>
      </c>
      <c r="AS106" s="8">
        <f>SUM(AK106:AK111)</f>
        <v>20.160750190540199</v>
      </c>
      <c r="AT106" s="8">
        <f>SUM(AK106:AK109)</f>
        <v>20.160750190540199</v>
      </c>
      <c r="AW106">
        <f t="shared" si="102"/>
        <v>0</v>
      </c>
      <c r="AX106">
        <f t="shared" si="103"/>
        <v>0</v>
      </c>
      <c r="AY106">
        <f t="shared" si="106"/>
        <v>0</v>
      </c>
      <c r="AZ106">
        <f t="shared" si="104"/>
        <v>0</v>
      </c>
      <c r="BA106">
        <f t="shared" si="105"/>
        <v>0</v>
      </c>
      <c r="BJ106">
        <f t="shared" si="107"/>
        <v>0</v>
      </c>
      <c r="BK106">
        <f t="shared" si="108"/>
        <v>0</v>
      </c>
    </row>
    <row r="107" spans="1:63" x14ac:dyDescent="0.2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6"/>
        <v>0</v>
      </c>
      <c r="S107">
        <f t="shared" si="95"/>
        <v>0</v>
      </c>
      <c r="AD107">
        <f t="shared" si="97"/>
        <v>0</v>
      </c>
      <c r="AE107">
        <f t="shared" si="98"/>
        <v>0</v>
      </c>
      <c r="AF107">
        <f t="shared" si="99"/>
        <v>0</v>
      </c>
      <c r="AG107">
        <f t="shared" si="100"/>
        <v>0</v>
      </c>
      <c r="AH107">
        <f t="shared" si="101"/>
        <v>0</v>
      </c>
      <c r="AJ107" t="s">
        <v>105</v>
      </c>
      <c r="AK107">
        <f>IF(M33&gt;0,INDEX($AE$2:$AH$1500,M33,4))</f>
        <v>49.110466331508448</v>
      </c>
      <c r="AL107">
        <f>IF(M33&gt;0,37.63)</f>
        <v>37.630000000000003</v>
      </c>
      <c r="AR107" t="s">
        <v>193</v>
      </c>
      <c r="AS107">
        <f>SUM(AL106:AL111)</f>
        <v>-14.728999999999996</v>
      </c>
      <c r="AT107">
        <f>SUM(AL106:AL109)</f>
        <v>-14.728999999999996</v>
      </c>
      <c r="AW107">
        <f t="shared" si="102"/>
        <v>0</v>
      </c>
      <c r="AX107">
        <f t="shared" si="103"/>
        <v>0</v>
      </c>
      <c r="AY107">
        <f t="shared" si="106"/>
        <v>0</v>
      </c>
      <c r="AZ107">
        <f t="shared" si="104"/>
        <v>0</v>
      </c>
      <c r="BA107">
        <f t="shared" si="105"/>
        <v>0</v>
      </c>
      <c r="BJ107">
        <f t="shared" si="107"/>
        <v>0</v>
      </c>
      <c r="BK107">
        <f t="shared" si="108"/>
        <v>0</v>
      </c>
    </row>
    <row r="108" spans="1:63" x14ac:dyDescent="0.2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6"/>
        <v>0</v>
      </c>
      <c r="S108">
        <f t="shared" si="95"/>
        <v>0</v>
      </c>
      <c r="AD108">
        <f t="shared" si="97"/>
        <v>0</v>
      </c>
      <c r="AE108">
        <f t="shared" si="98"/>
        <v>0</v>
      </c>
      <c r="AF108">
        <f t="shared" si="99"/>
        <v>0</v>
      </c>
      <c r="AG108">
        <f t="shared" si="100"/>
        <v>0</v>
      </c>
      <c r="AH108">
        <f t="shared" si="101"/>
        <v>0</v>
      </c>
      <c r="AJ108" t="s">
        <v>133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194</v>
      </c>
      <c r="AS108">
        <f>SUM(AL106*AL106,AL107*AL107,AL108*AL108,AL109*AL109,AL110*AL110,AL111*AL111)</f>
        <v>2786.8371210000005</v>
      </c>
      <c r="AT108">
        <f>SUM(AL106*AL106,AL107*AL107,AL108*AL108,AL109*AL109)</f>
        <v>2786.8371210000005</v>
      </c>
      <c r="AW108">
        <f t="shared" si="102"/>
        <v>0</v>
      </c>
      <c r="AX108">
        <f t="shared" si="103"/>
        <v>0</v>
      </c>
      <c r="AY108">
        <f t="shared" si="106"/>
        <v>0</v>
      </c>
      <c r="AZ108">
        <f t="shared" si="104"/>
        <v>0</v>
      </c>
      <c r="BA108">
        <f t="shared" si="105"/>
        <v>0</v>
      </c>
      <c r="BJ108">
        <f t="shared" si="107"/>
        <v>0</v>
      </c>
      <c r="BK108">
        <f t="shared" si="108"/>
        <v>0</v>
      </c>
    </row>
    <row r="109" spans="1:63" x14ac:dyDescent="0.2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6"/>
        <v>0</v>
      </c>
      <c r="S109">
        <f t="shared" si="95"/>
        <v>0</v>
      </c>
      <c r="AD109">
        <f t="shared" si="97"/>
        <v>0</v>
      </c>
      <c r="AE109">
        <f t="shared" si="98"/>
        <v>0</v>
      </c>
      <c r="AF109">
        <f t="shared" si="99"/>
        <v>0</v>
      </c>
      <c r="AG109">
        <f t="shared" si="100"/>
        <v>0</v>
      </c>
      <c r="AH109">
        <f t="shared" si="101"/>
        <v>0</v>
      </c>
      <c r="AJ109" t="s">
        <v>125</v>
      </c>
      <c r="AK109">
        <f>IF(M2=1,AVERAGE(AO22:AO36),(IF(M36&gt;0,INDEX($AE$2:$AH$1500,M36,4),AVERAGE(AH5:AH9))))</f>
        <v>-14.357388610587238</v>
      </c>
      <c r="AL109">
        <f>-25.97</f>
        <v>-25.97</v>
      </c>
      <c r="AR109" t="s">
        <v>195</v>
      </c>
      <c r="AS109">
        <f>SUM(AK106*AL106,AK107*AL107,AK108*AL108,AK109*AL109,AK110*AL110,AK111*AL111)</f>
        <v>2605.9651614708382</v>
      </c>
      <c r="AT109">
        <f>SUM(AL106*AK106,AL107*AK107,AL108*AK108,AL109*AK109)</f>
        <v>2605.9651614708382</v>
      </c>
      <c r="AW109">
        <f t="shared" si="102"/>
        <v>0</v>
      </c>
      <c r="AX109">
        <f t="shared" si="103"/>
        <v>0</v>
      </c>
      <c r="AY109">
        <f t="shared" si="106"/>
        <v>0</v>
      </c>
      <c r="AZ109">
        <f t="shared" si="104"/>
        <v>0</v>
      </c>
      <c r="BA109">
        <f t="shared" si="105"/>
        <v>0</v>
      </c>
      <c r="BJ109">
        <f t="shared" si="107"/>
        <v>0</v>
      </c>
      <c r="BK109">
        <f t="shared" si="108"/>
        <v>0</v>
      </c>
    </row>
    <row r="110" spans="1:63" x14ac:dyDescent="0.2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6"/>
        <v>0</v>
      </c>
      <c r="S110">
        <f t="shared" si="95"/>
        <v>0</v>
      </c>
      <c r="AD110">
        <f t="shared" si="97"/>
        <v>0</v>
      </c>
      <c r="AE110">
        <f t="shared" si="98"/>
        <v>0</v>
      </c>
      <c r="AF110">
        <f t="shared" si="99"/>
        <v>0</v>
      </c>
      <c r="AG110">
        <f t="shared" si="100"/>
        <v>0</v>
      </c>
      <c r="AH110">
        <f t="shared" si="101"/>
        <v>0</v>
      </c>
      <c r="AJ110" t="s">
        <v>140</v>
      </c>
      <c r="AK110" t="b">
        <f>IF(M41&gt;0,INDEX($AE$2:$AH$1500,M41,4))</f>
        <v>0</v>
      </c>
      <c r="AL110" t="b">
        <f>IF(M41&gt;0,93.9)</f>
        <v>0</v>
      </c>
      <c r="AW110">
        <f t="shared" si="102"/>
        <v>0</v>
      </c>
      <c r="AX110">
        <f t="shared" si="103"/>
        <v>0</v>
      </c>
      <c r="AY110">
        <f t="shared" si="106"/>
        <v>0</v>
      </c>
      <c r="AZ110">
        <f t="shared" si="104"/>
        <v>0</v>
      </c>
      <c r="BA110">
        <f t="shared" si="105"/>
        <v>0</v>
      </c>
      <c r="BJ110">
        <f t="shared" si="107"/>
        <v>0</v>
      </c>
      <c r="BK110">
        <f t="shared" si="108"/>
        <v>0</v>
      </c>
    </row>
    <row r="111" spans="1:63" x14ac:dyDescent="0.2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6"/>
        <v>0</v>
      </c>
      <c r="S111">
        <f t="shared" si="95"/>
        <v>0</v>
      </c>
      <c r="AD111">
        <f t="shared" si="97"/>
        <v>0</v>
      </c>
      <c r="AE111">
        <f t="shared" si="98"/>
        <v>0</v>
      </c>
      <c r="AF111">
        <f t="shared" si="99"/>
        <v>0</v>
      </c>
      <c r="AG111">
        <f t="shared" si="100"/>
        <v>0</v>
      </c>
      <c r="AH111">
        <f t="shared" si="101"/>
        <v>0</v>
      </c>
      <c r="AJ111" t="s">
        <v>141</v>
      </c>
      <c r="AK111" t="b">
        <f>IF(M42&gt;0,INDEX($AE$2:$AH$1500,M42,4))</f>
        <v>0</v>
      </c>
      <c r="AL111" t="b">
        <f>IF(M42&gt;0,535.3)</f>
        <v>0</v>
      </c>
      <c r="AW111">
        <f t="shared" si="102"/>
        <v>0</v>
      </c>
      <c r="AX111">
        <f t="shared" si="103"/>
        <v>0</v>
      </c>
      <c r="AY111">
        <f t="shared" si="106"/>
        <v>0</v>
      </c>
      <c r="AZ111">
        <f t="shared" si="104"/>
        <v>0</v>
      </c>
      <c r="BA111">
        <f t="shared" si="105"/>
        <v>0</v>
      </c>
      <c r="BJ111">
        <f t="shared" si="107"/>
        <v>0</v>
      </c>
      <c r="BK111">
        <f t="shared" si="108"/>
        <v>0</v>
      </c>
    </row>
    <row r="112" spans="1:63" x14ac:dyDescent="0.2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6"/>
        <v>0</v>
      </c>
      <c r="S112">
        <f t="shared" si="95"/>
        <v>0</v>
      </c>
      <c r="AD112">
        <f t="shared" si="97"/>
        <v>0</v>
      </c>
      <c r="AE112">
        <f t="shared" si="98"/>
        <v>0</v>
      </c>
      <c r="AF112">
        <f t="shared" si="99"/>
        <v>0</v>
      </c>
      <c r="AG112">
        <f t="shared" si="100"/>
        <v>0</v>
      </c>
      <c r="AH112">
        <f t="shared" si="101"/>
        <v>0</v>
      </c>
      <c r="AR112" t="s">
        <v>202</v>
      </c>
      <c r="AS112" s="4" t="s">
        <v>235</v>
      </c>
      <c r="AW112">
        <f t="shared" si="102"/>
        <v>0</v>
      </c>
      <c r="AX112">
        <f t="shared" si="103"/>
        <v>0</v>
      </c>
      <c r="AY112">
        <f t="shared" si="106"/>
        <v>0</v>
      </c>
      <c r="AZ112">
        <f t="shared" si="104"/>
        <v>0</v>
      </c>
      <c r="BA112">
        <f t="shared" si="105"/>
        <v>0</v>
      </c>
      <c r="BJ112">
        <f t="shared" si="107"/>
        <v>0</v>
      </c>
      <c r="BK112">
        <f t="shared" si="108"/>
        <v>0</v>
      </c>
    </row>
    <row r="113" spans="1:63" x14ac:dyDescent="0.2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6"/>
        <v>0</v>
      </c>
      <c r="S113">
        <f t="shared" si="95"/>
        <v>0</v>
      </c>
      <c r="AD113">
        <f t="shared" si="97"/>
        <v>0</v>
      </c>
      <c r="AE113">
        <f t="shared" si="98"/>
        <v>0</v>
      </c>
      <c r="AF113">
        <f t="shared" si="99"/>
        <v>0</v>
      </c>
      <c r="AG113">
        <f t="shared" si="100"/>
        <v>0</v>
      </c>
      <c r="AH113">
        <f t="shared" si="101"/>
        <v>0</v>
      </c>
      <c r="AR113" t="s">
        <v>204</v>
      </c>
      <c r="AS113" t="s">
        <v>205</v>
      </c>
      <c r="AT113" t="s">
        <v>206</v>
      </c>
      <c r="AW113">
        <f t="shared" si="102"/>
        <v>0</v>
      </c>
      <c r="AX113">
        <f t="shared" si="103"/>
        <v>0</v>
      </c>
      <c r="AY113">
        <f t="shared" si="106"/>
        <v>0</v>
      </c>
      <c r="AZ113">
        <f t="shared" si="104"/>
        <v>0</v>
      </c>
      <c r="BA113">
        <f t="shared" si="105"/>
        <v>0</v>
      </c>
      <c r="BJ113">
        <f t="shared" si="107"/>
        <v>0</v>
      </c>
      <c r="BK113">
        <f t="shared" si="108"/>
        <v>0</v>
      </c>
    </row>
    <row r="114" spans="1:63" x14ac:dyDescent="0.2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6"/>
        <v>0</v>
      </c>
      <c r="S114">
        <f t="shared" si="95"/>
        <v>0</v>
      </c>
      <c r="AD114">
        <f t="shared" si="97"/>
        <v>0</v>
      </c>
      <c r="AE114">
        <f t="shared" si="98"/>
        <v>0</v>
      </c>
      <c r="AF114">
        <f t="shared" si="99"/>
        <v>0</v>
      </c>
      <c r="AG114">
        <f t="shared" si="100"/>
        <v>0</v>
      </c>
      <c r="AH114">
        <f t="shared" si="101"/>
        <v>0</v>
      </c>
      <c r="AR114" t="str">
        <f>AJ106</f>
        <v>USGS-40</v>
      </c>
      <c r="AS114">
        <f>IF(AK106=FALSE,0,(AK106-AL106*AO$116-AO$117)^2)</f>
        <v>8.2795154659752283E-3</v>
      </c>
      <c r="AT114">
        <f>IF(AK106=FALSE,0,(AK106-AVERAGE(AK$106:AK$111))^2)</f>
        <v>454.22596369577036</v>
      </c>
      <c r="AW114">
        <f t="shared" si="102"/>
        <v>0</v>
      </c>
      <c r="AX114">
        <f t="shared" si="103"/>
        <v>0</v>
      </c>
      <c r="AY114">
        <f t="shared" si="106"/>
        <v>0</v>
      </c>
      <c r="AZ114">
        <f t="shared" si="104"/>
        <v>0</v>
      </c>
      <c r="BA114">
        <f t="shared" si="105"/>
        <v>0</v>
      </c>
      <c r="BJ114">
        <f t="shared" si="107"/>
        <v>0</v>
      </c>
      <c r="BK114">
        <f t="shared" si="108"/>
        <v>0</v>
      </c>
    </row>
    <row r="115" spans="1:63" x14ac:dyDescent="0.2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6"/>
        <v>0</v>
      </c>
      <c r="S115">
        <f t="shared" si="95"/>
        <v>0</v>
      </c>
      <c r="AD115">
        <f t="shared" si="97"/>
        <v>0</v>
      </c>
      <c r="AE115">
        <f t="shared" si="98"/>
        <v>0</v>
      </c>
      <c r="AF115">
        <f t="shared" si="99"/>
        <v>0</v>
      </c>
      <c r="AG115">
        <f t="shared" si="100"/>
        <v>0</v>
      </c>
      <c r="AH115">
        <f t="shared" si="101"/>
        <v>0</v>
      </c>
      <c r="AN115" s="3" t="s">
        <v>240</v>
      </c>
      <c r="AO115" s="3" t="s">
        <v>241</v>
      </c>
      <c r="AR115" t="str">
        <f t="shared" ref="AR115:AR119" si="115">AJ107</f>
        <v>USGS-41</v>
      </c>
      <c r="AS115">
        <f t="shared" ref="AS115:AS119" si="116">IF(AK107=FALSE,0,(AK107-AL107*AO$116-AO$117)^2)</f>
        <v>3.5935089957633559E-7</v>
      </c>
      <c r="AT115">
        <f t="shared" ref="AT115:AT119" si="117">IF(AK107=FALSE,0,(AK107-AVERAGE(AK$106:AK$111))^2)</f>
        <v>1796.9304352473923</v>
      </c>
      <c r="AW115">
        <f t="shared" si="102"/>
        <v>0</v>
      </c>
      <c r="AX115">
        <f t="shared" si="103"/>
        <v>0</v>
      </c>
      <c r="AY115">
        <f t="shared" si="106"/>
        <v>0</v>
      </c>
      <c r="AZ115">
        <f t="shared" si="104"/>
        <v>0</v>
      </c>
      <c r="BA115">
        <f t="shared" si="105"/>
        <v>0</v>
      </c>
      <c r="BJ115">
        <f t="shared" si="107"/>
        <v>0</v>
      </c>
      <c r="BK115">
        <f t="shared" si="108"/>
        <v>0</v>
      </c>
    </row>
    <row r="116" spans="1:63" x14ac:dyDescent="0.2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6"/>
        <v>0</v>
      </c>
      <c r="S116">
        <f t="shared" si="95"/>
        <v>0</v>
      </c>
      <c r="AD116">
        <f t="shared" si="97"/>
        <v>0</v>
      </c>
      <c r="AE116">
        <f t="shared" si="98"/>
        <v>0</v>
      </c>
      <c r="AF116">
        <f t="shared" si="99"/>
        <v>0</v>
      </c>
      <c r="AG116">
        <f t="shared" si="100"/>
        <v>0</v>
      </c>
      <c r="AH116">
        <f t="shared" si="101"/>
        <v>0</v>
      </c>
      <c r="AM116" t="s">
        <v>212</v>
      </c>
      <c r="AN116">
        <f>IF(AND($AK$107=FALSE,$AK$108=FALSE,$AK$110=FALSE,$AK$111=FALSE),1,(AT105*AT109-AT107*AT106)/(AT105*AT108-AT107*AT107))</f>
        <v>0.99647270725729198</v>
      </c>
      <c r="AO116">
        <f>IF(AND($AK$110=FALSE,$AK$111=FALSE),AN116,(AS105*AS109-AS107*AS106)/(AS105*AS108-AS107*AS107))</f>
        <v>0.99647270725729198</v>
      </c>
      <c r="AP116">
        <f>AN116-AO116</f>
        <v>0</v>
      </c>
      <c r="AR116" t="str">
        <f t="shared" si="115"/>
        <v>IVA Urea</v>
      </c>
      <c r="AS116">
        <f t="shared" si="116"/>
        <v>0</v>
      </c>
      <c r="AT116">
        <f t="shared" si="117"/>
        <v>0</v>
      </c>
      <c r="AW116">
        <f t="shared" si="102"/>
        <v>0</v>
      </c>
      <c r="AX116">
        <f t="shared" si="103"/>
        <v>0</v>
      </c>
      <c r="AY116">
        <f t="shared" si="106"/>
        <v>0</v>
      </c>
      <c r="AZ116">
        <f t="shared" si="104"/>
        <v>0</v>
      </c>
      <c r="BA116">
        <f t="shared" si="105"/>
        <v>0</v>
      </c>
      <c r="BJ116">
        <f t="shared" si="107"/>
        <v>0</v>
      </c>
      <c r="BK116">
        <f t="shared" si="108"/>
        <v>0</v>
      </c>
    </row>
    <row r="117" spans="1:63" x14ac:dyDescent="0.2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6"/>
        <v>0</v>
      </c>
      <c r="S117">
        <f t="shared" si="95"/>
        <v>0</v>
      </c>
      <c r="AD117">
        <f t="shared" si="97"/>
        <v>0</v>
      </c>
      <c r="AE117">
        <f t="shared" si="98"/>
        <v>0</v>
      </c>
      <c r="AF117">
        <f t="shared" si="99"/>
        <v>0</v>
      </c>
      <c r="AG117">
        <f t="shared" si="100"/>
        <v>0</v>
      </c>
      <c r="AH117">
        <f t="shared" si="101"/>
        <v>0</v>
      </c>
      <c r="AM117" t="s">
        <v>201</v>
      </c>
      <c r="AN117">
        <f>IF(AND($AK$107=FALSE,$AK$108=FALSE,$AK$110=FALSE,$AK$111=FALSE),AVERAGE(AK106-AL106,AK109-AL109),(AT106*AT108-AT107*AT109)/(AT105*AT108-AT107*AT107))</f>
        <v>11.612598898577616</v>
      </c>
      <c r="AO117">
        <f>IF(AND($AK$110=FALSE,$AK$111=FALSE),AN117,(AS106*AS108-AS107*AS109)/(AS105*AS108-AS107*AS107))</f>
        <v>11.612598898577616</v>
      </c>
      <c r="AP117">
        <f>AN117-AO117</f>
        <v>0</v>
      </c>
      <c r="AQ117">
        <f>IF(AN116=AO116,20,-AP117/AP116)</f>
        <v>20</v>
      </c>
      <c r="AR117" t="str">
        <f t="shared" si="115"/>
        <v>Peach</v>
      </c>
      <c r="AS117">
        <f t="shared" si="116"/>
        <v>8.3889665458146672E-3</v>
      </c>
      <c r="AT117">
        <f>IF(AK109=FALSE,0,(AK109-AVERAGE(AK$106:AK$111))^2)</f>
        <v>444.26685207594284</v>
      </c>
      <c r="AW117">
        <f t="shared" si="102"/>
        <v>0</v>
      </c>
      <c r="AX117">
        <f t="shared" si="103"/>
        <v>0</v>
      </c>
      <c r="AY117">
        <f t="shared" si="106"/>
        <v>0</v>
      </c>
      <c r="AZ117">
        <f t="shared" si="104"/>
        <v>0</v>
      </c>
      <c r="BA117">
        <f t="shared" si="105"/>
        <v>0</v>
      </c>
      <c r="BJ117">
        <f t="shared" si="107"/>
        <v>0</v>
      </c>
      <c r="BK117">
        <f t="shared" si="108"/>
        <v>0</v>
      </c>
    </row>
    <row r="118" spans="1:63" x14ac:dyDescent="0.2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6"/>
        <v>0</v>
      </c>
      <c r="S118">
        <f t="shared" si="95"/>
        <v>0</v>
      </c>
      <c r="AD118">
        <f t="shared" si="97"/>
        <v>0</v>
      </c>
      <c r="AE118">
        <f t="shared" si="98"/>
        <v>0</v>
      </c>
      <c r="AF118">
        <f t="shared" si="99"/>
        <v>0</v>
      </c>
      <c r="AG118">
        <f t="shared" si="100"/>
        <v>0</v>
      </c>
      <c r="AH118">
        <f t="shared" si="101"/>
        <v>0</v>
      </c>
      <c r="AM118" t="s">
        <v>215</v>
      </c>
      <c r="AN118">
        <f>IF(AK119&lt;3,"Only two points",1-SUM(AS125:AS128)/SUM(AT125:AT128))</f>
        <v>0.99999381587238423</v>
      </c>
      <c r="AO118">
        <f>IF(AK120&gt;2,IF(AND($AK$110=FALSE,$AK$111=FALSE),AN118,1-SUM(AS114:AS119)/SUM(AT114:AT119)),"Only Two Points")</f>
        <v>0.99999381587238423</v>
      </c>
      <c r="AR118" t="str">
        <f t="shared" si="115"/>
        <v>IAEA 309A</v>
      </c>
      <c r="AS118">
        <f t="shared" si="116"/>
        <v>0</v>
      </c>
      <c r="AT118">
        <f t="shared" si="117"/>
        <v>0</v>
      </c>
      <c r="AW118">
        <f t="shared" si="102"/>
        <v>0</v>
      </c>
      <c r="AX118">
        <f t="shared" si="103"/>
        <v>0</v>
      </c>
      <c r="AY118">
        <f t="shared" si="106"/>
        <v>0</v>
      </c>
      <c r="AZ118">
        <f t="shared" si="104"/>
        <v>0</v>
      </c>
      <c r="BA118">
        <f t="shared" si="105"/>
        <v>0</v>
      </c>
      <c r="BJ118">
        <f t="shared" si="107"/>
        <v>0</v>
      </c>
      <c r="BK118">
        <f t="shared" si="108"/>
        <v>0</v>
      </c>
    </row>
    <row r="119" spans="1:63" x14ac:dyDescent="0.2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6"/>
        <v>0</v>
      </c>
      <c r="S119">
        <f t="shared" si="95"/>
        <v>0</v>
      </c>
      <c r="AD119">
        <f t="shared" si="97"/>
        <v>0</v>
      </c>
      <c r="AE119">
        <f t="shared" si="98"/>
        <v>0</v>
      </c>
      <c r="AF119">
        <f t="shared" si="99"/>
        <v>0</v>
      </c>
      <c r="AG119">
        <f t="shared" si="100"/>
        <v>0</v>
      </c>
      <c r="AH119">
        <f t="shared" si="101"/>
        <v>0</v>
      </c>
      <c r="AK119">
        <f>COUNT(AK106:AK109)</f>
        <v>3</v>
      </c>
      <c r="AR119" t="str">
        <f t="shared" si="115"/>
        <v>IAEA 309B</v>
      </c>
      <c r="AS119">
        <f t="shared" si="116"/>
        <v>0</v>
      </c>
      <c r="AT119">
        <f t="shared" si="117"/>
        <v>0</v>
      </c>
      <c r="AW119">
        <f t="shared" si="102"/>
        <v>0</v>
      </c>
      <c r="AX119">
        <f t="shared" si="103"/>
        <v>0</v>
      </c>
      <c r="AY119">
        <f t="shared" si="106"/>
        <v>0</v>
      </c>
      <c r="AZ119">
        <f t="shared" si="104"/>
        <v>0</v>
      </c>
      <c r="BA119">
        <f t="shared" si="105"/>
        <v>0</v>
      </c>
      <c r="BJ119">
        <f t="shared" si="107"/>
        <v>0</v>
      </c>
      <c r="BK119">
        <f t="shared" si="108"/>
        <v>0</v>
      </c>
    </row>
    <row r="120" spans="1:63" x14ac:dyDescent="0.2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6"/>
        <v>0</v>
      </c>
      <c r="S120">
        <f t="shared" si="95"/>
        <v>0</v>
      </c>
      <c r="AD120">
        <f t="shared" si="97"/>
        <v>0</v>
      </c>
      <c r="AE120">
        <f t="shared" si="98"/>
        <v>0</v>
      </c>
      <c r="AF120">
        <f t="shared" si="99"/>
        <v>0</v>
      </c>
      <c r="AG120">
        <f t="shared" si="100"/>
        <v>0</v>
      </c>
      <c r="AH120">
        <f t="shared" si="101"/>
        <v>0</v>
      </c>
      <c r="AJ120" t="s">
        <v>237</v>
      </c>
      <c r="AK120">
        <f>COUNT(AK106:AK111)</f>
        <v>3</v>
      </c>
      <c r="AW120">
        <f t="shared" si="102"/>
        <v>0</v>
      </c>
      <c r="AX120">
        <f t="shared" si="103"/>
        <v>0</v>
      </c>
      <c r="AY120">
        <f t="shared" si="106"/>
        <v>0</v>
      </c>
      <c r="AZ120">
        <f t="shared" si="104"/>
        <v>0</v>
      </c>
      <c r="BA120">
        <f t="shared" si="105"/>
        <v>0</v>
      </c>
      <c r="BJ120">
        <f t="shared" si="107"/>
        <v>0</v>
      </c>
      <c r="BK120">
        <f t="shared" si="108"/>
        <v>0</v>
      </c>
    </row>
    <row r="121" spans="1:63" x14ac:dyDescent="0.2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6"/>
        <v>0</v>
      </c>
      <c r="S121">
        <f t="shared" si="95"/>
        <v>0</v>
      </c>
      <c r="AD121">
        <f t="shared" si="97"/>
        <v>0</v>
      </c>
      <c r="AE121">
        <f t="shared" si="98"/>
        <v>0</v>
      </c>
      <c r="AF121">
        <f t="shared" si="99"/>
        <v>0</v>
      </c>
      <c r="AG121">
        <f t="shared" si="100"/>
        <v>0</v>
      </c>
      <c r="AH121">
        <f t="shared" si="101"/>
        <v>0</v>
      </c>
      <c r="AW121">
        <f t="shared" si="102"/>
        <v>0</v>
      </c>
      <c r="AX121">
        <f t="shared" si="103"/>
        <v>0</v>
      </c>
      <c r="AY121">
        <f t="shared" si="106"/>
        <v>0</v>
      </c>
      <c r="AZ121">
        <f t="shared" si="104"/>
        <v>0</v>
      </c>
      <c r="BA121">
        <f t="shared" si="105"/>
        <v>0</v>
      </c>
      <c r="BJ121">
        <f t="shared" si="107"/>
        <v>0</v>
      </c>
      <c r="BK121">
        <f t="shared" si="108"/>
        <v>0</v>
      </c>
    </row>
    <row r="122" spans="1:63" x14ac:dyDescent="0.2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6"/>
        <v>0</v>
      </c>
      <c r="S122">
        <f t="shared" si="95"/>
        <v>0</v>
      </c>
      <c r="AD122">
        <f t="shared" si="97"/>
        <v>0</v>
      </c>
      <c r="AE122">
        <f t="shared" si="98"/>
        <v>0</v>
      </c>
      <c r="AF122">
        <f t="shared" si="99"/>
        <v>0</v>
      </c>
      <c r="AG122">
        <f t="shared" si="100"/>
        <v>0</v>
      </c>
      <c r="AH122">
        <f t="shared" si="101"/>
        <v>0</v>
      </c>
      <c r="AW122">
        <f t="shared" si="102"/>
        <v>0</v>
      </c>
      <c r="AX122">
        <f t="shared" si="103"/>
        <v>0</v>
      </c>
      <c r="AY122">
        <f t="shared" si="106"/>
        <v>0</v>
      </c>
      <c r="AZ122">
        <f t="shared" si="104"/>
        <v>0</v>
      </c>
      <c r="BA122">
        <f t="shared" si="105"/>
        <v>0</v>
      </c>
      <c r="BJ122">
        <f t="shared" si="107"/>
        <v>0</v>
      </c>
      <c r="BK122">
        <f t="shared" si="108"/>
        <v>0</v>
      </c>
    </row>
    <row r="123" spans="1:63" x14ac:dyDescent="0.2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6"/>
        <v>0</v>
      </c>
      <c r="S123">
        <f t="shared" si="95"/>
        <v>0</v>
      </c>
      <c r="AD123">
        <f t="shared" si="97"/>
        <v>0</v>
      </c>
      <c r="AE123">
        <f t="shared" si="98"/>
        <v>0</v>
      </c>
      <c r="AF123">
        <f t="shared" si="99"/>
        <v>0</v>
      </c>
      <c r="AG123">
        <f t="shared" si="100"/>
        <v>0</v>
      </c>
      <c r="AH123">
        <f t="shared" si="101"/>
        <v>0</v>
      </c>
      <c r="AR123" t="s">
        <v>202</v>
      </c>
      <c r="AS123" s="4" t="s">
        <v>236</v>
      </c>
      <c r="AW123">
        <f t="shared" si="102"/>
        <v>0</v>
      </c>
      <c r="AX123">
        <f t="shared" si="103"/>
        <v>0</v>
      </c>
      <c r="AY123">
        <f t="shared" si="106"/>
        <v>0</v>
      </c>
      <c r="AZ123">
        <f t="shared" si="104"/>
        <v>0</v>
      </c>
      <c r="BA123">
        <f t="shared" si="105"/>
        <v>0</v>
      </c>
      <c r="BJ123">
        <f t="shared" si="107"/>
        <v>0</v>
      </c>
      <c r="BK123">
        <f t="shared" si="108"/>
        <v>0</v>
      </c>
    </row>
    <row r="124" spans="1:63" x14ac:dyDescent="0.2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6"/>
        <v>0</v>
      </c>
      <c r="S124">
        <f t="shared" si="95"/>
        <v>0</v>
      </c>
      <c r="AD124">
        <f t="shared" si="97"/>
        <v>0</v>
      </c>
      <c r="AE124">
        <f t="shared" si="98"/>
        <v>0</v>
      </c>
      <c r="AF124">
        <f t="shared" si="99"/>
        <v>0</v>
      </c>
      <c r="AG124">
        <f t="shared" si="100"/>
        <v>0</v>
      </c>
      <c r="AH124">
        <f t="shared" si="101"/>
        <v>0</v>
      </c>
      <c r="AR124" t="s">
        <v>204</v>
      </c>
      <c r="AS124" t="s">
        <v>205</v>
      </c>
      <c r="AT124" t="s">
        <v>206</v>
      </c>
      <c r="AW124">
        <f t="shared" si="102"/>
        <v>0</v>
      </c>
      <c r="AX124">
        <f t="shared" si="103"/>
        <v>0</v>
      </c>
      <c r="AY124">
        <f t="shared" si="106"/>
        <v>0</v>
      </c>
      <c r="AZ124">
        <f t="shared" si="104"/>
        <v>0</v>
      </c>
      <c r="BA124">
        <f t="shared" si="105"/>
        <v>0</v>
      </c>
      <c r="BJ124">
        <f t="shared" si="107"/>
        <v>0</v>
      </c>
      <c r="BK124">
        <f t="shared" si="108"/>
        <v>0</v>
      </c>
    </row>
    <row r="125" spans="1:63" x14ac:dyDescent="0.2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6"/>
        <v>0</v>
      </c>
      <c r="S125">
        <f t="shared" si="95"/>
        <v>0</v>
      </c>
      <c r="AD125">
        <f t="shared" si="97"/>
        <v>0</v>
      </c>
      <c r="AE125">
        <f t="shared" si="98"/>
        <v>0</v>
      </c>
      <c r="AF125">
        <f t="shared" si="99"/>
        <v>0</v>
      </c>
      <c r="AG125">
        <f t="shared" si="100"/>
        <v>0</v>
      </c>
      <c r="AH125">
        <f t="shared" si="101"/>
        <v>0</v>
      </c>
      <c r="AR125" t="str">
        <f>AJ106</f>
        <v>USGS-40</v>
      </c>
      <c r="AS125">
        <f>IF(AK106=FALSE,0,(AK106-AL106*AO$116-AO$117)^2)</f>
        <v>8.2795154659752283E-3</v>
      </c>
      <c r="AT125">
        <f>IF(AK106=FALSE,0,(AK106-AVERAGE($AK$106:$AK$109))^2)</f>
        <v>454.22596369577036</v>
      </c>
      <c r="AW125">
        <f t="shared" si="102"/>
        <v>0</v>
      </c>
      <c r="AX125">
        <f t="shared" si="103"/>
        <v>0</v>
      </c>
      <c r="AY125">
        <f t="shared" si="106"/>
        <v>0</v>
      </c>
      <c r="AZ125">
        <f t="shared" si="104"/>
        <v>0</v>
      </c>
      <c r="BA125">
        <f t="shared" si="105"/>
        <v>0</v>
      </c>
      <c r="BJ125">
        <f t="shared" si="107"/>
        <v>0</v>
      </c>
      <c r="BK125">
        <f t="shared" si="108"/>
        <v>0</v>
      </c>
    </row>
    <row r="126" spans="1:63" x14ac:dyDescent="0.2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6"/>
        <v>0</v>
      </c>
      <c r="S126">
        <f t="shared" si="95"/>
        <v>0</v>
      </c>
      <c r="AD126">
        <f t="shared" si="97"/>
        <v>0</v>
      </c>
      <c r="AE126">
        <f t="shared" si="98"/>
        <v>0</v>
      </c>
      <c r="AF126">
        <f t="shared" si="99"/>
        <v>0</v>
      </c>
      <c r="AG126">
        <f t="shared" si="100"/>
        <v>0</v>
      </c>
      <c r="AH126">
        <f t="shared" si="101"/>
        <v>0</v>
      </c>
      <c r="AR126" t="str">
        <f t="shared" ref="AR126:AR128" si="118">AJ107</f>
        <v>USGS-41</v>
      </c>
      <c r="AS126">
        <f t="shared" ref="AS126:AS128" si="119">IF(AK107=FALSE,0,(AK107-AL107*AO$116-AO$117)^2)</f>
        <v>3.5935089957633559E-7</v>
      </c>
      <c r="AT126">
        <f t="shared" ref="AT126:AT128" si="120">IF(AK107=FALSE,0,(AK107-AVERAGE($AK$106:$AK$109))^2)</f>
        <v>1796.9304352473923</v>
      </c>
      <c r="AW126">
        <f t="shared" si="102"/>
        <v>0</v>
      </c>
      <c r="AX126">
        <f t="shared" si="103"/>
        <v>0</v>
      </c>
      <c r="AY126">
        <f t="shared" si="106"/>
        <v>0</v>
      </c>
      <c r="AZ126">
        <f t="shared" si="104"/>
        <v>0</v>
      </c>
      <c r="BA126">
        <f t="shared" si="105"/>
        <v>0</v>
      </c>
      <c r="BJ126">
        <f t="shared" si="107"/>
        <v>0</v>
      </c>
      <c r="BK126">
        <f t="shared" si="108"/>
        <v>0</v>
      </c>
    </row>
    <row r="127" spans="1:63" x14ac:dyDescent="0.2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6"/>
        <v>0</v>
      </c>
      <c r="S127">
        <f t="shared" si="95"/>
        <v>0</v>
      </c>
      <c r="AD127">
        <f t="shared" si="97"/>
        <v>0</v>
      </c>
      <c r="AE127">
        <f t="shared" si="98"/>
        <v>0</v>
      </c>
      <c r="AF127">
        <f t="shared" si="99"/>
        <v>0</v>
      </c>
      <c r="AG127">
        <f t="shared" si="100"/>
        <v>0</v>
      </c>
      <c r="AH127">
        <f t="shared" si="101"/>
        <v>0</v>
      </c>
      <c r="AR127" t="str">
        <f t="shared" si="118"/>
        <v>IVA Urea</v>
      </c>
      <c r="AS127">
        <f t="shared" si="119"/>
        <v>0</v>
      </c>
      <c r="AT127">
        <f t="shared" si="120"/>
        <v>0</v>
      </c>
      <c r="AW127">
        <f t="shared" si="102"/>
        <v>0</v>
      </c>
      <c r="AX127">
        <f t="shared" si="103"/>
        <v>0</v>
      </c>
      <c r="AY127">
        <f t="shared" si="106"/>
        <v>0</v>
      </c>
      <c r="AZ127">
        <f t="shared" si="104"/>
        <v>0</v>
      </c>
      <c r="BA127">
        <f t="shared" si="105"/>
        <v>0</v>
      </c>
      <c r="BJ127">
        <f t="shared" si="107"/>
        <v>0</v>
      </c>
      <c r="BK127">
        <f t="shared" si="108"/>
        <v>0</v>
      </c>
    </row>
    <row r="128" spans="1:63" x14ac:dyDescent="0.2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6"/>
        <v>0</v>
      </c>
      <c r="S128">
        <f t="shared" si="95"/>
        <v>0</v>
      </c>
      <c r="AD128">
        <f t="shared" si="97"/>
        <v>0</v>
      </c>
      <c r="AE128">
        <f t="shared" si="98"/>
        <v>0</v>
      </c>
      <c r="AF128">
        <f t="shared" si="99"/>
        <v>0</v>
      </c>
      <c r="AG128">
        <f t="shared" si="100"/>
        <v>0</v>
      </c>
      <c r="AH128">
        <f t="shared" si="101"/>
        <v>0</v>
      </c>
      <c r="AR128" t="str">
        <f t="shared" si="118"/>
        <v>Peach</v>
      </c>
      <c r="AS128">
        <f t="shared" si="119"/>
        <v>8.3889665458146672E-3</v>
      </c>
      <c r="AT128">
        <f t="shared" si="120"/>
        <v>444.26685207594284</v>
      </c>
      <c r="AW128">
        <f t="shared" si="102"/>
        <v>0</v>
      </c>
      <c r="AX128">
        <f t="shared" si="103"/>
        <v>0</v>
      </c>
      <c r="AY128">
        <f t="shared" si="106"/>
        <v>0</v>
      </c>
      <c r="AZ128">
        <f t="shared" si="104"/>
        <v>0</v>
      </c>
      <c r="BA128">
        <f t="shared" si="105"/>
        <v>0</v>
      </c>
      <c r="BJ128">
        <f t="shared" si="107"/>
        <v>0</v>
      </c>
      <c r="BK128">
        <f t="shared" si="108"/>
        <v>0</v>
      </c>
    </row>
    <row r="129" spans="1:63" x14ac:dyDescent="0.2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6"/>
        <v>0</v>
      </c>
      <c r="S129">
        <f t="shared" si="95"/>
        <v>0</v>
      </c>
      <c r="AD129">
        <f t="shared" si="97"/>
        <v>0</v>
      </c>
      <c r="AE129">
        <f t="shared" si="98"/>
        <v>0</v>
      </c>
      <c r="AF129">
        <f t="shared" si="99"/>
        <v>0</v>
      </c>
      <c r="AG129">
        <f t="shared" si="100"/>
        <v>0</v>
      </c>
      <c r="AH129">
        <f t="shared" si="101"/>
        <v>0</v>
      </c>
      <c r="AW129">
        <f t="shared" si="102"/>
        <v>0</v>
      </c>
      <c r="AX129">
        <f t="shared" si="103"/>
        <v>0</v>
      </c>
      <c r="AY129">
        <f t="shared" si="106"/>
        <v>0</v>
      </c>
      <c r="AZ129">
        <f t="shared" si="104"/>
        <v>0</v>
      </c>
      <c r="BA129">
        <f t="shared" si="105"/>
        <v>0</v>
      </c>
      <c r="BJ129">
        <f t="shared" si="107"/>
        <v>0</v>
      </c>
      <c r="BK129">
        <f t="shared" si="108"/>
        <v>0</v>
      </c>
    </row>
    <row r="130" spans="1:63" x14ac:dyDescent="0.2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6"/>
        <v>0</v>
      </c>
      <c r="S130">
        <f t="shared" ref="S130:S193" si="121">IF(A130&gt;0,H130*$P$28/F130,0)</f>
        <v>0</v>
      </c>
      <c r="AD130">
        <f t="shared" si="97"/>
        <v>0</v>
      </c>
      <c r="AE130">
        <f t="shared" si="98"/>
        <v>0</v>
      </c>
      <c r="AF130">
        <f t="shared" si="99"/>
        <v>0</v>
      </c>
      <c r="AG130">
        <f t="shared" si="100"/>
        <v>0</v>
      </c>
      <c r="AH130">
        <f t="shared" si="101"/>
        <v>0</v>
      </c>
      <c r="AW130">
        <f t="shared" si="102"/>
        <v>0</v>
      </c>
      <c r="AX130">
        <f t="shared" si="103"/>
        <v>0</v>
      </c>
      <c r="AY130">
        <f t="shared" si="106"/>
        <v>0</v>
      </c>
      <c r="AZ130">
        <f t="shared" si="104"/>
        <v>0</v>
      </c>
      <c r="BA130">
        <f t="shared" si="105"/>
        <v>0</v>
      </c>
      <c r="BJ130">
        <f t="shared" si="107"/>
        <v>0</v>
      </c>
      <c r="BK130">
        <f t="shared" si="108"/>
        <v>0</v>
      </c>
    </row>
    <row r="131" spans="1:63" x14ac:dyDescent="0.2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2">IF(A131&gt;0,G131*$O$28/E131,0)</f>
        <v>0</v>
      </c>
      <c r="S131">
        <f t="shared" si="121"/>
        <v>0</v>
      </c>
      <c r="AD131">
        <f t="shared" ref="AD131:AD194" si="123">IF(A131&gt;0,C131,0)</f>
        <v>0</v>
      </c>
      <c r="AE131">
        <f t="shared" ref="AE131:AE194" si="124">IF(A131&gt;0,(R131)/(R131^2*$V$10+R131*$V$11+$V$12)*$V$14,0)</f>
        <v>0</v>
      </c>
      <c r="AF131">
        <f t="shared" ref="AF131:AF194" si="125">IF(A131&gt;0,IF(S131&gt;$X$4,(S131)/(S131^2*$X$10+S131*$X$11+$X$12)*$X$14,(S131)/(S131^2*$Z$10+S131*$Z$11+$Z$12)*$Z$14),0)</f>
        <v>0</v>
      </c>
      <c r="AG131">
        <f t="shared" ref="AG131:AG194" si="126">IF(A131&gt;0,(I131)-(R131^2*$W$10+R131*$W$11+$W$12)+$W$14,0)</f>
        <v>0</v>
      </c>
      <c r="AH131">
        <f t="shared" ref="AH131:AH194" si="127">IF(A131&gt;0,(J131)-(S131^2*$Y$10+S131*$Y$11+$Y$12)+$Y$14,0)</f>
        <v>0</v>
      </c>
      <c r="AW131">
        <f t="shared" ref="AW131:AW194" si="128">AD131</f>
        <v>0</v>
      </c>
      <c r="AX131">
        <f t="shared" ref="AX131:AX194" si="129">IF(D131&gt;0,IF(($AN$16*AE131/D131-$AN$18)/$AN$17&gt;$AQ$15,($AN$16*AE131/D131-$AN$18)/$AN$17,($AN$16*AE131/D131-$AO$18)/$AO$17),0)</f>
        <v>0</v>
      </c>
      <c r="AY131">
        <f t="shared" si="106"/>
        <v>0</v>
      </c>
      <c r="AZ131">
        <f t="shared" ref="AZ131:AZ194" si="130">IF(D131&gt;0,IF(AG131&gt;$AQ$84,(AG131-$AN$84)/$AN$83,(AG131-$AO$84)/$AO$83),0)</f>
        <v>0</v>
      </c>
      <c r="BA131">
        <f t="shared" ref="BA131:BA194" si="131">IF(D131&gt;0,IF((AH131-$AN$117)/$AN$116&lt;$AQ$117,(AH131-$AN$117)/$AN$116,(AH131-$AO$117)/$AO$116),0)</f>
        <v>0</v>
      </c>
      <c r="BJ131">
        <f t="shared" si="107"/>
        <v>0</v>
      </c>
      <c r="BK131">
        <f t="shared" si="108"/>
        <v>0</v>
      </c>
    </row>
    <row r="132" spans="1:63" x14ac:dyDescent="0.2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2"/>
        <v>0</v>
      </c>
      <c r="S132">
        <f t="shared" si="121"/>
        <v>0</v>
      </c>
      <c r="AD132">
        <f t="shared" si="123"/>
        <v>0</v>
      </c>
      <c r="AE132">
        <f t="shared" si="124"/>
        <v>0</v>
      </c>
      <c r="AF132">
        <f t="shared" si="125"/>
        <v>0</v>
      </c>
      <c r="AG132">
        <f t="shared" si="126"/>
        <v>0</v>
      </c>
      <c r="AH132">
        <f t="shared" si="127"/>
        <v>0</v>
      </c>
      <c r="AW132">
        <f t="shared" si="128"/>
        <v>0</v>
      </c>
      <c r="AX132">
        <f t="shared" si="129"/>
        <v>0</v>
      </c>
      <c r="AY132">
        <f t="shared" ref="AY132:AY195" si="132">IF(D132&gt;0,IF($M$2=1,($AN$50*AF132/D132-$AN$52)/$AN$51*46.6/(($AN$50*AVERAGE($AM$22:$AM$29)/AVERAGE($AK$22:$AK$29)-$AN$52)/$AN$51),($AN$50*AF132/D132-$AN$52)/$AN$51),0)</f>
        <v>0</v>
      </c>
      <c r="AZ132">
        <f t="shared" si="130"/>
        <v>0</v>
      </c>
      <c r="BA132">
        <f t="shared" si="131"/>
        <v>0</v>
      </c>
      <c r="BJ132">
        <f t="shared" si="107"/>
        <v>0</v>
      </c>
      <c r="BK132">
        <f t="shared" si="108"/>
        <v>0</v>
      </c>
    </row>
    <row r="133" spans="1:63" x14ac:dyDescent="0.2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2"/>
        <v>0</v>
      </c>
      <c r="S133">
        <f t="shared" si="121"/>
        <v>0</v>
      </c>
      <c r="AD133">
        <f t="shared" si="123"/>
        <v>0</v>
      </c>
      <c r="AE133">
        <f t="shared" si="124"/>
        <v>0</v>
      </c>
      <c r="AF133">
        <f t="shared" si="125"/>
        <v>0</v>
      </c>
      <c r="AG133">
        <f t="shared" si="126"/>
        <v>0</v>
      </c>
      <c r="AH133">
        <f t="shared" si="127"/>
        <v>0</v>
      </c>
      <c r="AW133">
        <f t="shared" si="128"/>
        <v>0</v>
      </c>
      <c r="AX133">
        <f t="shared" si="129"/>
        <v>0</v>
      </c>
      <c r="AY133">
        <f t="shared" si="132"/>
        <v>0</v>
      </c>
      <c r="AZ133">
        <f t="shared" si="130"/>
        <v>0</v>
      </c>
      <c r="BA133">
        <f t="shared" si="131"/>
        <v>0</v>
      </c>
      <c r="BJ133">
        <f t="shared" ref="BJ133:BJ196" si="133">IF(A133&gt;0,IF(OR(G133&lt;G$4*0.9,G133&gt;G$10*1.1),1,0),0)</f>
        <v>0</v>
      </c>
      <c r="BK133">
        <f t="shared" ref="BK133:BK196" si="134">IF(A133&gt;0,IF(OR(H133&lt;H$4*0.9,H133&gt;H$10*1.1),1,0),0)</f>
        <v>0</v>
      </c>
    </row>
    <row r="134" spans="1:63" x14ac:dyDescent="0.2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2"/>
        <v>0</v>
      </c>
      <c r="S134">
        <f t="shared" si="121"/>
        <v>0</v>
      </c>
      <c r="AD134">
        <f t="shared" si="123"/>
        <v>0</v>
      </c>
      <c r="AE134">
        <f t="shared" si="124"/>
        <v>0</v>
      </c>
      <c r="AF134">
        <f t="shared" si="125"/>
        <v>0</v>
      </c>
      <c r="AG134">
        <f t="shared" si="126"/>
        <v>0</v>
      </c>
      <c r="AH134">
        <f t="shared" si="127"/>
        <v>0</v>
      </c>
      <c r="AW134">
        <f t="shared" si="128"/>
        <v>0</v>
      </c>
      <c r="AX134">
        <f t="shared" si="129"/>
        <v>0</v>
      </c>
      <c r="AY134">
        <f t="shared" si="132"/>
        <v>0</v>
      </c>
      <c r="AZ134">
        <f t="shared" si="130"/>
        <v>0</v>
      </c>
      <c r="BA134">
        <f t="shared" si="131"/>
        <v>0</v>
      </c>
      <c r="BJ134">
        <f t="shared" si="133"/>
        <v>0</v>
      </c>
      <c r="BK134">
        <f t="shared" si="134"/>
        <v>0</v>
      </c>
    </row>
    <row r="135" spans="1:63" x14ac:dyDescent="0.2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2"/>
        <v>0</v>
      </c>
      <c r="S135">
        <f t="shared" si="121"/>
        <v>0</v>
      </c>
      <c r="AD135">
        <f t="shared" si="123"/>
        <v>0</v>
      </c>
      <c r="AE135">
        <f t="shared" si="124"/>
        <v>0</v>
      </c>
      <c r="AF135">
        <f t="shared" si="125"/>
        <v>0</v>
      </c>
      <c r="AG135">
        <f t="shared" si="126"/>
        <v>0</v>
      </c>
      <c r="AH135">
        <f t="shared" si="127"/>
        <v>0</v>
      </c>
      <c r="AW135">
        <f t="shared" si="128"/>
        <v>0</v>
      </c>
      <c r="AX135">
        <f t="shared" si="129"/>
        <v>0</v>
      </c>
      <c r="AY135">
        <f t="shared" si="132"/>
        <v>0</v>
      </c>
      <c r="AZ135">
        <f t="shared" si="130"/>
        <v>0</v>
      </c>
      <c r="BA135">
        <f t="shared" si="131"/>
        <v>0</v>
      </c>
      <c r="BJ135">
        <f t="shared" si="133"/>
        <v>0</v>
      </c>
      <c r="BK135">
        <f t="shared" si="134"/>
        <v>0</v>
      </c>
    </row>
    <row r="136" spans="1:63" x14ac:dyDescent="0.2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2"/>
        <v>0</v>
      </c>
      <c r="S136">
        <f t="shared" si="121"/>
        <v>0</v>
      </c>
      <c r="AD136">
        <f t="shared" si="123"/>
        <v>0</v>
      </c>
      <c r="AE136">
        <f t="shared" si="124"/>
        <v>0</v>
      </c>
      <c r="AF136">
        <f t="shared" si="125"/>
        <v>0</v>
      </c>
      <c r="AG136">
        <f t="shared" si="126"/>
        <v>0</v>
      </c>
      <c r="AH136">
        <f t="shared" si="127"/>
        <v>0</v>
      </c>
      <c r="AW136">
        <f t="shared" si="128"/>
        <v>0</v>
      </c>
      <c r="AX136">
        <f t="shared" si="129"/>
        <v>0</v>
      </c>
      <c r="AY136">
        <f t="shared" si="132"/>
        <v>0</v>
      </c>
      <c r="AZ136">
        <f t="shared" si="130"/>
        <v>0</v>
      </c>
      <c r="BA136">
        <f t="shared" si="131"/>
        <v>0</v>
      </c>
      <c r="BJ136">
        <f t="shared" si="133"/>
        <v>0</v>
      </c>
      <c r="BK136">
        <f t="shared" si="134"/>
        <v>0</v>
      </c>
    </row>
    <row r="137" spans="1:63" x14ac:dyDescent="0.2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2"/>
        <v>0</v>
      </c>
      <c r="S137">
        <f t="shared" si="121"/>
        <v>0</v>
      </c>
      <c r="AD137">
        <f t="shared" si="123"/>
        <v>0</v>
      </c>
      <c r="AE137">
        <f t="shared" si="124"/>
        <v>0</v>
      </c>
      <c r="AF137">
        <f t="shared" si="125"/>
        <v>0</v>
      </c>
      <c r="AG137">
        <f t="shared" si="126"/>
        <v>0</v>
      </c>
      <c r="AH137">
        <f t="shared" si="127"/>
        <v>0</v>
      </c>
      <c r="AW137">
        <f t="shared" si="128"/>
        <v>0</v>
      </c>
      <c r="AX137">
        <f t="shared" si="129"/>
        <v>0</v>
      </c>
      <c r="AY137">
        <f t="shared" si="132"/>
        <v>0</v>
      </c>
      <c r="AZ137">
        <f t="shared" si="130"/>
        <v>0</v>
      </c>
      <c r="BA137">
        <f t="shared" si="131"/>
        <v>0</v>
      </c>
      <c r="BJ137">
        <f t="shared" si="133"/>
        <v>0</v>
      </c>
      <c r="BK137">
        <f t="shared" si="134"/>
        <v>0</v>
      </c>
    </row>
    <row r="138" spans="1:63" x14ac:dyDescent="0.2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2"/>
        <v>0</v>
      </c>
      <c r="S138">
        <f t="shared" si="121"/>
        <v>0</v>
      </c>
      <c r="AD138">
        <f t="shared" si="123"/>
        <v>0</v>
      </c>
      <c r="AE138">
        <f t="shared" si="124"/>
        <v>0</v>
      </c>
      <c r="AF138">
        <f t="shared" si="125"/>
        <v>0</v>
      </c>
      <c r="AG138">
        <f t="shared" si="126"/>
        <v>0</v>
      </c>
      <c r="AH138">
        <f t="shared" si="127"/>
        <v>0</v>
      </c>
      <c r="AW138">
        <f t="shared" si="128"/>
        <v>0</v>
      </c>
      <c r="AX138">
        <f t="shared" si="129"/>
        <v>0</v>
      </c>
      <c r="AY138">
        <f t="shared" si="132"/>
        <v>0</v>
      </c>
      <c r="AZ138">
        <f t="shared" si="130"/>
        <v>0</v>
      </c>
      <c r="BA138">
        <f t="shared" si="131"/>
        <v>0</v>
      </c>
      <c r="BJ138">
        <f t="shared" si="133"/>
        <v>0</v>
      </c>
      <c r="BK138">
        <f t="shared" si="134"/>
        <v>0</v>
      </c>
    </row>
    <row r="139" spans="1:63" x14ac:dyDescent="0.2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2"/>
        <v>0</v>
      </c>
      <c r="S139">
        <f t="shared" si="121"/>
        <v>0</v>
      </c>
      <c r="AD139">
        <f t="shared" si="123"/>
        <v>0</v>
      </c>
      <c r="AE139">
        <f t="shared" si="124"/>
        <v>0</v>
      </c>
      <c r="AF139">
        <f t="shared" si="125"/>
        <v>0</v>
      </c>
      <c r="AG139">
        <f t="shared" si="126"/>
        <v>0</v>
      </c>
      <c r="AH139">
        <f t="shared" si="127"/>
        <v>0</v>
      </c>
      <c r="AW139">
        <f t="shared" si="128"/>
        <v>0</v>
      </c>
      <c r="AX139">
        <f t="shared" si="129"/>
        <v>0</v>
      </c>
      <c r="AY139">
        <f t="shared" si="132"/>
        <v>0</v>
      </c>
      <c r="AZ139">
        <f t="shared" si="130"/>
        <v>0</v>
      </c>
      <c r="BA139">
        <f t="shared" si="131"/>
        <v>0</v>
      </c>
      <c r="BJ139">
        <f t="shared" si="133"/>
        <v>0</v>
      </c>
      <c r="BK139">
        <f t="shared" si="134"/>
        <v>0</v>
      </c>
    </row>
    <row r="140" spans="1:63" x14ac:dyDescent="0.2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2"/>
        <v>0</v>
      </c>
      <c r="S140">
        <f t="shared" si="121"/>
        <v>0</v>
      </c>
      <c r="AD140">
        <f t="shared" si="123"/>
        <v>0</v>
      </c>
      <c r="AE140">
        <f t="shared" si="124"/>
        <v>0</v>
      </c>
      <c r="AF140">
        <f t="shared" si="125"/>
        <v>0</v>
      </c>
      <c r="AG140">
        <f t="shared" si="126"/>
        <v>0</v>
      </c>
      <c r="AH140">
        <f t="shared" si="127"/>
        <v>0</v>
      </c>
      <c r="AW140">
        <f t="shared" si="128"/>
        <v>0</v>
      </c>
      <c r="AX140">
        <f t="shared" si="129"/>
        <v>0</v>
      </c>
      <c r="AY140">
        <f t="shared" si="132"/>
        <v>0</v>
      </c>
      <c r="AZ140">
        <f t="shared" si="130"/>
        <v>0</v>
      </c>
      <c r="BA140">
        <f t="shared" si="131"/>
        <v>0</v>
      </c>
      <c r="BJ140">
        <f t="shared" si="133"/>
        <v>0</v>
      </c>
      <c r="BK140">
        <f t="shared" si="134"/>
        <v>0</v>
      </c>
    </row>
    <row r="141" spans="1:63" x14ac:dyDescent="0.2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2"/>
        <v>0</v>
      </c>
      <c r="S141">
        <f t="shared" si="121"/>
        <v>0</v>
      </c>
      <c r="AD141">
        <f t="shared" si="123"/>
        <v>0</v>
      </c>
      <c r="AE141">
        <f t="shared" si="124"/>
        <v>0</v>
      </c>
      <c r="AF141">
        <f t="shared" si="125"/>
        <v>0</v>
      </c>
      <c r="AG141">
        <f t="shared" si="126"/>
        <v>0</v>
      </c>
      <c r="AH141">
        <f t="shared" si="127"/>
        <v>0</v>
      </c>
      <c r="AW141">
        <f t="shared" si="128"/>
        <v>0</v>
      </c>
      <c r="AX141">
        <f t="shared" si="129"/>
        <v>0</v>
      </c>
      <c r="AY141">
        <f t="shared" si="132"/>
        <v>0</v>
      </c>
      <c r="AZ141">
        <f t="shared" si="130"/>
        <v>0</v>
      </c>
      <c r="BA141">
        <f t="shared" si="131"/>
        <v>0</v>
      </c>
      <c r="BJ141">
        <f t="shared" si="133"/>
        <v>0</v>
      </c>
      <c r="BK141">
        <f t="shared" si="134"/>
        <v>0</v>
      </c>
    </row>
    <row r="142" spans="1:63" x14ac:dyDescent="0.2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2"/>
        <v>0</v>
      </c>
      <c r="S142">
        <f t="shared" si="121"/>
        <v>0</v>
      </c>
      <c r="AD142">
        <f t="shared" si="123"/>
        <v>0</v>
      </c>
      <c r="AE142">
        <f t="shared" si="124"/>
        <v>0</v>
      </c>
      <c r="AF142">
        <f t="shared" si="125"/>
        <v>0</v>
      </c>
      <c r="AG142">
        <f t="shared" si="126"/>
        <v>0</v>
      </c>
      <c r="AH142">
        <f t="shared" si="127"/>
        <v>0</v>
      </c>
      <c r="AW142">
        <f t="shared" si="128"/>
        <v>0</v>
      </c>
      <c r="AX142">
        <f t="shared" si="129"/>
        <v>0</v>
      </c>
      <c r="AY142">
        <f t="shared" si="132"/>
        <v>0</v>
      </c>
      <c r="AZ142">
        <f t="shared" si="130"/>
        <v>0</v>
      </c>
      <c r="BA142">
        <f t="shared" si="131"/>
        <v>0</v>
      </c>
      <c r="BJ142">
        <f t="shared" si="133"/>
        <v>0</v>
      </c>
      <c r="BK142">
        <f t="shared" si="134"/>
        <v>0</v>
      </c>
    </row>
    <row r="143" spans="1:63" x14ac:dyDescent="0.2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2"/>
        <v>0</v>
      </c>
      <c r="S143">
        <f t="shared" si="121"/>
        <v>0</v>
      </c>
      <c r="AD143">
        <f t="shared" si="123"/>
        <v>0</v>
      </c>
      <c r="AE143">
        <f t="shared" si="124"/>
        <v>0</v>
      </c>
      <c r="AF143">
        <f t="shared" si="125"/>
        <v>0</v>
      </c>
      <c r="AG143">
        <f t="shared" si="126"/>
        <v>0</v>
      </c>
      <c r="AH143">
        <f t="shared" si="127"/>
        <v>0</v>
      </c>
      <c r="AW143">
        <f t="shared" si="128"/>
        <v>0</v>
      </c>
      <c r="AX143">
        <f t="shared" si="129"/>
        <v>0</v>
      </c>
      <c r="AY143">
        <f t="shared" si="132"/>
        <v>0</v>
      </c>
      <c r="AZ143">
        <f t="shared" si="130"/>
        <v>0</v>
      </c>
      <c r="BA143">
        <f t="shared" si="131"/>
        <v>0</v>
      </c>
      <c r="BJ143">
        <f t="shared" si="133"/>
        <v>0</v>
      </c>
      <c r="BK143">
        <f t="shared" si="134"/>
        <v>0</v>
      </c>
    </row>
    <row r="144" spans="1:63" x14ac:dyDescent="0.2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2"/>
        <v>0</v>
      </c>
      <c r="S144">
        <f t="shared" si="121"/>
        <v>0</v>
      </c>
      <c r="AD144">
        <f t="shared" si="123"/>
        <v>0</v>
      </c>
      <c r="AE144">
        <f t="shared" si="124"/>
        <v>0</v>
      </c>
      <c r="AF144">
        <f t="shared" si="125"/>
        <v>0</v>
      </c>
      <c r="AG144">
        <f t="shared" si="126"/>
        <v>0</v>
      </c>
      <c r="AH144">
        <f t="shared" si="127"/>
        <v>0</v>
      </c>
      <c r="AW144">
        <f t="shared" si="128"/>
        <v>0</v>
      </c>
      <c r="AX144">
        <f t="shared" si="129"/>
        <v>0</v>
      </c>
      <c r="AY144">
        <f t="shared" si="132"/>
        <v>0</v>
      </c>
      <c r="AZ144">
        <f t="shared" si="130"/>
        <v>0</v>
      </c>
      <c r="BA144">
        <f t="shared" si="131"/>
        <v>0</v>
      </c>
      <c r="BJ144">
        <f t="shared" si="133"/>
        <v>0</v>
      </c>
      <c r="BK144">
        <f t="shared" si="134"/>
        <v>0</v>
      </c>
    </row>
    <row r="145" spans="1:63" x14ac:dyDescent="0.2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2"/>
        <v>0</v>
      </c>
      <c r="S145">
        <f t="shared" si="121"/>
        <v>0</v>
      </c>
      <c r="AD145">
        <f t="shared" si="123"/>
        <v>0</v>
      </c>
      <c r="AE145">
        <f t="shared" si="124"/>
        <v>0</v>
      </c>
      <c r="AF145">
        <f t="shared" si="125"/>
        <v>0</v>
      </c>
      <c r="AG145">
        <f t="shared" si="126"/>
        <v>0</v>
      </c>
      <c r="AH145">
        <f t="shared" si="127"/>
        <v>0</v>
      </c>
      <c r="AW145">
        <f t="shared" si="128"/>
        <v>0</v>
      </c>
      <c r="AX145">
        <f t="shared" si="129"/>
        <v>0</v>
      </c>
      <c r="AY145">
        <f t="shared" si="132"/>
        <v>0</v>
      </c>
      <c r="AZ145">
        <f t="shared" si="130"/>
        <v>0</v>
      </c>
      <c r="BA145">
        <f t="shared" si="131"/>
        <v>0</v>
      </c>
      <c r="BJ145">
        <f t="shared" si="133"/>
        <v>0</v>
      </c>
      <c r="BK145">
        <f t="shared" si="134"/>
        <v>0</v>
      </c>
    </row>
    <row r="146" spans="1:63" x14ac:dyDescent="0.2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2"/>
        <v>0</v>
      </c>
      <c r="S146">
        <f t="shared" si="121"/>
        <v>0</v>
      </c>
      <c r="AD146">
        <f t="shared" si="123"/>
        <v>0</v>
      </c>
      <c r="AE146">
        <f t="shared" si="124"/>
        <v>0</v>
      </c>
      <c r="AF146">
        <f t="shared" si="125"/>
        <v>0</v>
      </c>
      <c r="AG146">
        <f t="shared" si="126"/>
        <v>0</v>
      </c>
      <c r="AH146">
        <f t="shared" si="127"/>
        <v>0</v>
      </c>
      <c r="AW146">
        <f t="shared" si="128"/>
        <v>0</v>
      </c>
      <c r="AX146">
        <f t="shared" si="129"/>
        <v>0</v>
      </c>
      <c r="AY146">
        <f t="shared" si="132"/>
        <v>0</v>
      </c>
      <c r="AZ146">
        <f t="shared" si="130"/>
        <v>0</v>
      </c>
      <c r="BA146">
        <f t="shared" si="131"/>
        <v>0</v>
      </c>
      <c r="BJ146">
        <f t="shared" si="133"/>
        <v>0</v>
      </c>
      <c r="BK146">
        <f t="shared" si="134"/>
        <v>0</v>
      </c>
    </row>
    <row r="147" spans="1:63" x14ac:dyDescent="0.2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2"/>
        <v>0</v>
      </c>
      <c r="S147">
        <f t="shared" si="121"/>
        <v>0</v>
      </c>
      <c r="AD147">
        <f t="shared" si="123"/>
        <v>0</v>
      </c>
      <c r="AE147">
        <f t="shared" si="124"/>
        <v>0</v>
      </c>
      <c r="AF147">
        <f t="shared" si="125"/>
        <v>0</v>
      </c>
      <c r="AG147">
        <f t="shared" si="126"/>
        <v>0</v>
      </c>
      <c r="AH147">
        <f t="shared" si="127"/>
        <v>0</v>
      </c>
      <c r="AW147">
        <f t="shared" si="128"/>
        <v>0</v>
      </c>
      <c r="AX147">
        <f t="shared" si="129"/>
        <v>0</v>
      </c>
      <c r="AY147">
        <f t="shared" si="132"/>
        <v>0</v>
      </c>
      <c r="AZ147">
        <f t="shared" si="130"/>
        <v>0</v>
      </c>
      <c r="BA147">
        <f t="shared" si="131"/>
        <v>0</v>
      </c>
      <c r="BJ147">
        <f t="shared" si="133"/>
        <v>0</v>
      </c>
      <c r="BK147">
        <f t="shared" si="134"/>
        <v>0</v>
      </c>
    </row>
    <row r="148" spans="1:63" x14ac:dyDescent="0.2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2"/>
        <v>0</v>
      </c>
      <c r="S148">
        <f t="shared" si="121"/>
        <v>0</v>
      </c>
      <c r="AD148">
        <f t="shared" si="123"/>
        <v>0</v>
      </c>
      <c r="AE148">
        <f t="shared" si="124"/>
        <v>0</v>
      </c>
      <c r="AF148">
        <f t="shared" si="125"/>
        <v>0</v>
      </c>
      <c r="AG148">
        <f t="shared" si="126"/>
        <v>0</v>
      </c>
      <c r="AH148">
        <f t="shared" si="127"/>
        <v>0</v>
      </c>
      <c r="AW148">
        <f t="shared" si="128"/>
        <v>0</v>
      </c>
      <c r="AX148">
        <f t="shared" si="129"/>
        <v>0</v>
      </c>
      <c r="AY148">
        <f t="shared" si="132"/>
        <v>0</v>
      </c>
      <c r="AZ148">
        <f t="shared" si="130"/>
        <v>0</v>
      </c>
      <c r="BA148">
        <f t="shared" si="131"/>
        <v>0</v>
      </c>
      <c r="BJ148">
        <f t="shared" si="133"/>
        <v>0</v>
      </c>
      <c r="BK148">
        <f t="shared" si="134"/>
        <v>0</v>
      </c>
    </row>
    <row r="149" spans="1:63" x14ac:dyDescent="0.2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2"/>
        <v>0</v>
      </c>
      <c r="S149">
        <f t="shared" si="121"/>
        <v>0</v>
      </c>
      <c r="AD149">
        <f t="shared" si="123"/>
        <v>0</v>
      </c>
      <c r="AE149">
        <f t="shared" si="124"/>
        <v>0</v>
      </c>
      <c r="AF149">
        <f t="shared" si="125"/>
        <v>0</v>
      </c>
      <c r="AG149">
        <f t="shared" si="126"/>
        <v>0</v>
      </c>
      <c r="AH149">
        <f t="shared" si="127"/>
        <v>0</v>
      </c>
      <c r="AW149">
        <f t="shared" si="128"/>
        <v>0</v>
      </c>
      <c r="AX149">
        <f t="shared" si="129"/>
        <v>0</v>
      </c>
      <c r="AY149">
        <f t="shared" si="132"/>
        <v>0</v>
      </c>
      <c r="AZ149">
        <f t="shared" si="130"/>
        <v>0</v>
      </c>
      <c r="BA149">
        <f t="shared" si="131"/>
        <v>0</v>
      </c>
      <c r="BJ149">
        <f t="shared" si="133"/>
        <v>0</v>
      </c>
      <c r="BK149">
        <f t="shared" si="134"/>
        <v>0</v>
      </c>
    </row>
    <row r="150" spans="1:63" x14ac:dyDescent="0.2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2"/>
        <v>0</v>
      </c>
      <c r="S150">
        <f t="shared" si="121"/>
        <v>0</v>
      </c>
      <c r="AD150">
        <f t="shared" si="123"/>
        <v>0</v>
      </c>
      <c r="AE150">
        <f t="shared" si="124"/>
        <v>0</v>
      </c>
      <c r="AF150">
        <f t="shared" si="125"/>
        <v>0</v>
      </c>
      <c r="AG150">
        <f t="shared" si="126"/>
        <v>0</v>
      </c>
      <c r="AH150">
        <f t="shared" si="127"/>
        <v>0</v>
      </c>
      <c r="AW150">
        <f t="shared" si="128"/>
        <v>0</v>
      </c>
      <c r="AX150">
        <f t="shared" si="129"/>
        <v>0</v>
      </c>
      <c r="AY150">
        <f t="shared" si="132"/>
        <v>0</v>
      </c>
      <c r="AZ150">
        <f t="shared" si="130"/>
        <v>0</v>
      </c>
      <c r="BA150">
        <f t="shared" si="131"/>
        <v>0</v>
      </c>
      <c r="BJ150">
        <f t="shared" si="133"/>
        <v>0</v>
      </c>
      <c r="BK150">
        <f t="shared" si="134"/>
        <v>0</v>
      </c>
    </row>
    <row r="151" spans="1:63" x14ac:dyDescent="0.2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2"/>
        <v>0</v>
      </c>
      <c r="S151">
        <f t="shared" si="121"/>
        <v>0</v>
      </c>
      <c r="AD151">
        <f t="shared" si="123"/>
        <v>0</v>
      </c>
      <c r="AE151">
        <f t="shared" si="124"/>
        <v>0</v>
      </c>
      <c r="AF151">
        <f t="shared" si="125"/>
        <v>0</v>
      </c>
      <c r="AG151">
        <f t="shared" si="126"/>
        <v>0</v>
      </c>
      <c r="AH151">
        <f t="shared" si="127"/>
        <v>0</v>
      </c>
      <c r="AW151">
        <f t="shared" si="128"/>
        <v>0</v>
      </c>
      <c r="AX151">
        <f t="shared" si="129"/>
        <v>0</v>
      </c>
      <c r="AY151">
        <f t="shared" si="132"/>
        <v>0</v>
      </c>
      <c r="AZ151">
        <f t="shared" si="130"/>
        <v>0</v>
      </c>
      <c r="BA151">
        <f t="shared" si="131"/>
        <v>0</v>
      </c>
      <c r="BJ151">
        <f t="shared" si="133"/>
        <v>0</v>
      </c>
      <c r="BK151">
        <f t="shared" si="134"/>
        <v>0</v>
      </c>
    </row>
    <row r="152" spans="1:63" x14ac:dyDescent="0.2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2"/>
        <v>0</v>
      </c>
      <c r="S152">
        <f t="shared" si="121"/>
        <v>0</v>
      </c>
      <c r="AD152">
        <f t="shared" si="123"/>
        <v>0</v>
      </c>
      <c r="AE152">
        <f t="shared" si="124"/>
        <v>0</v>
      </c>
      <c r="AF152">
        <f t="shared" si="125"/>
        <v>0</v>
      </c>
      <c r="AG152">
        <f t="shared" si="126"/>
        <v>0</v>
      </c>
      <c r="AH152">
        <f t="shared" si="127"/>
        <v>0</v>
      </c>
      <c r="AW152">
        <f t="shared" si="128"/>
        <v>0</v>
      </c>
      <c r="AX152">
        <f t="shared" si="129"/>
        <v>0</v>
      </c>
      <c r="AY152">
        <f t="shared" si="132"/>
        <v>0</v>
      </c>
      <c r="AZ152">
        <f t="shared" si="130"/>
        <v>0</v>
      </c>
      <c r="BA152">
        <f t="shared" si="131"/>
        <v>0</v>
      </c>
      <c r="BJ152">
        <f t="shared" si="133"/>
        <v>0</v>
      </c>
      <c r="BK152">
        <f t="shared" si="134"/>
        <v>0</v>
      </c>
    </row>
    <row r="153" spans="1:63" x14ac:dyDescent="0.2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2"/>
        <v>0</v>
      </c>
      <c r="S153">
        <f t="shared" si="121"/>
        <v>0</v>
      </c>
      <c r="AD153">
        <f t="shared" si="123"/>
        <v>0</v>
      </c>
      <c r="AE153">
        <f t="shared" si="124"/>
        <v>0</v>
      </c>
      <c r="AF153">
        <f t="shared" si="125"/>
        <v>0</v>
      </c>
      <c r="AG153">
        <f t="shared" si="126"/>
        <v>0</v>
      </c>
      <c r="AH153">
        <f t="shared" si="127"/>
        <v>0</v>
      </c>
      <c r="AW153">
        <f t="shared" si="128"/>
        <v>0</v>
      </c>
      <c r="AX153">
        <f t="shared" si="129"/>
        <v>0</v>
      </c>
      <c r="AY153">
        <f t="shared" si="132"/>
        <v>0</v>
      </c>
      <c r="AZ153">
        <f t="shared" si="130"/>
        <v>0</v>
      </c>
      <c r="BA153">
        <f t="shared" si="131"/>
        <v>0</v>
      </c>
      <c r="BJ153">
        <f t="shared" si="133"/>
        <v>0</v>
      </c>
      <c r="BK153">
        <f t="shared" si="134"/>
        <v>0</v>
      </c>
    </row>
    <row r="154" spans="1:63" x14ac:dyDescent="0.2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2"/>
        <v>0</v>
      </c>
      <c r="S154">
        <f t="shared" si="121"/>
        <v>0</v>
      </c>
      <c r="AD154">
        <f t="shared" si="123"/>
        <v>0</v>
      </c>
      <c r="AE154">
        <f t="shared" si="124"/>
        <v>0</v>
      </c>
      <c r="AF154">
        <f t="shared" si="125"/>
        <v>0</v>
      </c>
      <c r="AG154">
        <f t="shared" si="126"/>
        <v>0</v>
      </c>
      <c r="AH154">
        <f t="shared" si="127"/>
        <v>0</v>
      </c>
      <c r="AW154">
        <f t="shared" si="128"/>
        <v>0</v>
      </c>
      <c r="AX154">
        <f t="shared" si="129"/>
        <v>0</v>
      </c>
      <c r="AY154">
        <f t="shared" si="132"/>
        <v>0</v>
      </c>
      <c r="AZ154">
        <f t="shared" si="130"/>
        <v>0</v>
      </c>
      <c r="BA154">
        <f t="shared" si="131"/>
        <v>0</v>
      </c>
      <c r="BJ154">
        <f t="shared" si="133"/>
        <v>0</v>
      </c>
      <c r="BK154">
        <f t="shared" si="134"/>
        <v>0</v>
      </c>
    </row>
    <row r="155" spans="1:63" x14ac:dyDescent="0.2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2"/>
        <v>0</v>
      </c>
      <c r="S155">
        <f t="shared" si="121"/>
        <v>0</v>
      </c>
      <c r="AD155">
        <f t="shared" si="123"/>
        <v>0</v>
      </c>
      <c r="AE155">
        <f t="shared" si="124"/>
        <v>0</v>
      </c>
      <c r="AF155">
        <f t="shared" si="125"/>
        <v>0</v>
      </c>
      <c r="AG155">
        <f t="shared" si="126"/>
        <v>0</v>
      </c>
      <c r="AH155">
        <f t="shared" si="127"/>
        <v>0</v>
      </c>
      <c r="AW155">
        <f t="shared" si="128"/>
        <v>0</v>
      </c>
      <c r="AX155">
        <f t="shared" si="129"/>
        <v>0</v>
      </c>
      <c r="AY155">
        <f t="shared" si="132"/>
        <v>0</v>
      </c>
      <c r="AZ155">
        <f t="shared" si="130"/>
        <v>0</v>
      </c>
      <c r="BA155">
        <f t="shared" si="131"/>
        <v>0</v>
      </c>
      <c r="BJ155">
        <f t="shared" si="133"/>
        <v>0</v>
      </c>
      <c r="BK155">
        <f t="shared" si="134"/>
        <v>0</v>
      </c>
    </row>
    <row r="156" spans="1:63" x14ac:dyDescent="0.2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2"/>
        <v>0</v>
      </c>
      <c r="S156">
        <f t="shared" si="121"/>
        <v>0</v>
      </c>
      <c r="AD156">
        <f t="shared" si="123"/>
        <v>0</v>
      </c>
      <c r="AE156">
        <f t="shared" si="124"/>
        <v>0</v>
      </c>
      <c r="AF156">
        <f t="shared" si="125"/>
        <v>0</v>
      </c>
      <c r="AG156">
        <f t="shared" si="126"/>
        <v>0</v>
      </c>
      <c r="AH156">
        <f t="shared" si="127"/>
        <v>0</v>
      </c>
      <c r="AW156">
        <f t="shared" si="128"/>
        <v>0</v>
      </c>
      <c r="AX156">
        <f t="shared" si="129"/>
        <v>0</v>
      </c>
      <c r="AY156">
        <f t="shared" si="132"/>
        <v>0</v>
      </c>
      <c r="AZ156">
        <f t="shared" si="130"/>
        <v>0</v>
      </c>
      <c r="BA156">
        <f t="shared" si="131"/>
        <v>0</v>
      </c>
      <c r="BJ156">
        <f t="shared" si="133"/>
        <v>0</v>
      </c>
      <c r="BK156">
        <f t="shared" si="134"/>
        <v>0</v>
      </c>
    </row>
    <row r="157" spans="1:63" x14ac:dyDescent="0.2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2"/>
        <v>0</v>
      </c>
      <c r="S157">
        <f t="shared" si="121"/>
        <v>0</v>
      </c>
      <c r="AD157">
        <f t="shared" si="123"/>
        <v>0</v>
      </c>
      <c r="AE157">
        <f t="shared" si="124"/>
        <v>0</v>
      </c>
      <c r="AF157">
        <f t="shared" si="125"/>
        <v>0</v>
      </c>
      <c r="AG157">
        <f t="shared" si="126"/>
        <v>0</v>
      </c>
      <c r="AH157">
        <f t="shared" si="127"/>
        <v>0</v>
      </c>
      <c r="AW157">
        <f t="shared" si="128"/>
        <v>0</v>
      </c>
      <c r="AX157">
        <f t="shared" si="129"/>
        <v>0</v>
      </c>
      <c r="AY157">
        <f t="shared" si="132"/>
        <v>0</v>
      </c>
      <c r="AZ157">
        <f t="shared" si="130"/>
        <v>0</v>
      </c>
      <c r="BA157">
        <f t="shared" si="131"/>
        <v>0</v>
      </c>
      <c r="BJ157">
        <f t="shared" si="133"/>
        <v>0</v>
      </c>
      <c r="BK157">
        <f t="shared" si="134"/>
        <v>0</v>
      </c>
    </row>
    <row r="158" spans="1:63" x14ac:dyDescent="0.2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2"/>
        <v>0</v>
      </c>
      <c r="S158">
        <f t="shared" si="121"/>
        <v>0</v>
      </c>
      <c r="AD158">
        <f t="shared" si="123"/>
        <v>0</v>
      </c>
      <c r="AE158">
        <f t="shared" si="124"/>
        <v>0</v>
      </c>
      <c r="AF158">
        <f t="shared" si="125"/>
        <v>0</v>
      </c>
      <c r="AG158">
        <f t="shared" si="126"/>
        <v>0</v>
      </c>
      <c r="AH158">
        <f t="shared" si="127"/>
        <v>0</v>
      </c>
      <c r="AW158">
        <f t="shared" si="128"/>
        <v>0</v>
      </c>
      <c r="AX158">
        <f t="shared" si="129"/>
        <v>0</v>
      </c>
      <c r="AY158">
        <f t="shared" si="132"/>
        <v>0</v>
      </c>
      <c r="AZ158">
        <f t="shared" si="130"/>
        <v>0</v>
      </c>
      <c r="BA158">
        <f t="shared" si="131"/>
        <v>0</v>
      </c>
      <c r="BJ158">
        <f t="shared" si="133"/>
        <v>0</v>
      </c>
      <c r="BK158">
        <f t="shared" si="134"/>
        <v>0</v>
      </c>
    </row>
    <row r="159" spans="1:63" x14ac:dyDescent="0.2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2"/>
        <v>0</v>
      </c>
      <c r="S159">
        <f t="shared" si="121"/>
        <v>0</v>
      </c>
      <c r="AD159">
        <f t="shared" si="123"/>
        <v>0</v>
      </c>
      <c r="AE159">
        <f t="shared" si="124"/>
        <v>0</v>
      </c>
      <c r="AF159">
        <f t="shared" si="125"/>
        <v>0</v>
      </c>
      <c r="AG159">
        <f t="shared" si="126"/>
        <v>0</v>
      </c>
      <c r="AH159">
        <f t="shared" si="127"/>
        <v>0</v>
      </c>
      <c r="AW159">
        <f t="shared" si="128"/>
        <v>0</v>
      </c>
      <c r="AX159">
        <f t="shared" si="129"/>
        <v>0</v>
      </c>
      <c r="AY159">
        <f t="shared" si="132"/>
        <v>0</v>
      </c>
      <c r="AZ159">
        <f t="shared" si="130"/>
        <v>0</v>
      </c>
      <c r="BA159">
        <f t="shared" si="131"/>
        <v>0</v>
      </c>
      <c r="BJ159">
        <f t="shared" si="133"/>
        <v>0</v>
      </c>
      <c r="BK159">
        <f t="shared" si="134"/>
        <v>0</v>
      </c>
    </row>
    <row r="160" spans="1:63" x14ac:dyDescent="0.2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2"/>
        <v>0</v>
      </c>
      <c r="S160">
        <f t="shared" si="121"/>
        <v>0</v>
      </c>
      <c r="AD160">
        <f t="shared" si="123"/>
        <v>0</v>
      </c>
      <c r="AE160">
        <f t="shared" si="124"/>
        <v>0</v>
      </c>
      <c r="AF160">
        <f t="shared" si="125"/>
        <v>0</v>
      </c>
      <c r="AG160">
        <f t="shared" si="126"/>
        <v>0</v>
      </c>
      <c r="AH160">
        <f t="shared" si="127"/>
        <v>0</v>
      </c>
      <c r="AW160">
        <f t="shared" si="128"/>
        <v>0</v>
      </c>
      <c r="AX160">
        <f t="shared" si="129"/>
        <v>0</v>
      </c>
      <c r="AY160">
        <f t="shared" si="132"/>
        <v>0</v>
      </c>
      <c r="AZ160">
        <f t="shared" si="130"/>
        <v>0</v>
      </c>
      <c r="BA160">
        <f t="shared" si="131"/>
        <v>0</v>
      </c>
      <c r="BJ160">
        <f t="shared" si="133"/>
        <v>0</v>
      </c>
      <c r="BK160">
        <f t="shared" si="134"/>
        <v>0</v>
      </c>
    </row>
    <row r="161" spans="1:63" x14ac:dyDescent="0.2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2"/>
        <v>0</v>
      </c>
      <c r="S161">
        <f t="shared" si="121"/>
        <v>0</v>
      </c>
      <c r="AD161">
        <f t="shared" si="123"/>
        <v>0</v>
      </c>
      <c r="AE161">
        <f t="shared" si="124"/>
        <v>0</v>
      </c>
      <c r="AF161">
        <f t="shared" si="125"/>
        <v>0</v>
      </c>
      <c r="AG161">
        <f t="shared" si="126"/>
        <v>0</v>
      </c>
      <c r="AH161">
        <f t="shared" si="127"/>
        <v>0</v>
      </c>
      <c r="AW161">
        <f t="shared" si="128"/>
        <v>0</v>
      </c>
      <c r="AX161">
        <f t="shared" si="129"/>
        <v>0</v>
      </c>
      <c r="AY161">
        <f t="shared" si="132"/>
        <v>0</v>
      </c>
      <c r="AZ161">
        <f t="shared" si="130"/>
        <v>0</v>
      </c>
      <c r="BA161">
        <f t="shared" si="131"/>
        <v>0</v>
      </c>
      <c r="BJ161">
        <f t="shared" si="133"/>
        <v>0</v>
      </c>
      <c r="BK161">
        <f t="shared" si="134"/>
        <v>0</v>
      </c>
    </row>
    <row r="162" spans="1:63" x14ac:dyDescent="0.2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2"/>
        <v>0</v>
      </c>
      <c r="S162">
        <f t="shared" si="121"/>
        <v>0</v>
      </c>
      <c r="AD162">
        <f t="shared" si="123"/>
        <v>0</v>
      </c>
      <c r="AE162">
        <f t="shared" si="124"/>
        <v>0</v>
      </c>
      <c r="AF162">
        <f t="shared" si="125"/>
        <v>0</v>
      </c>
      <c r="AG162">
        <f t="shared" si="126"/>
        <v>0</v>
      </c>
      <c r="AH162">
        <f t="shared" si="127"/>
        <v>0</v>
      </c>
      <c r="AW162">
        <f t="shared" si="128"/>
        <v>0</v>
      </c>
      <c r="AX162">
        <f t="shared" si="129"/>
        <v>0</v>
      </c>
      <c r="AY162">
        <f t="shared" si="132"/>
        <v>0</v>
      </c>
      <c r="AZ162">
        <f t="shared" si="130"/>
        <v>0</v>
      </c>
      <c r="BA162">
        <f t="shared" si="131"/>
        <v>0</v>
      </c>
      <c r="BJ162">
        <f t="shared" si="133"/>
        <v>0</v>
      </c>
      <c r="BK162">
        <f t="shared" si="134"/>
        <v>0</v>
      </c>
    </row>
    <row r="163" spans="1:63" x14ac:dyDescent="0.2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2"/>
        <v>0</v>
      </c>
      <c r="S163">
        <f t="shared" si="121"/>
        <v>0</v>
      </c>
      <c r="AD163">
        <f t="shared" si="123"/>
        <v>0</v>
      </c>
      <c r="AE163">
        <f t="shared" si="124"/>
        <v>0</v>
      </c>
      <c r="AF163">
        <f t="shared" si="125"/>
        <v>0</v>
      </c>
      <c r="AG163">
        <f t="shared" si="126"/>
        <v>0</v>
      </c>
      <c r="AH163">
        <f t="shared" si="127"/>
        <v>0</v>
      </c>
      <c r="AW163">
        <f t="shared" si="128"/>
        <v>0</v>
      </c>
      <c r="AX163">
        <f t="shared" si="129"/>
        <v>0</v>
      </c>
      <c r="AY163">
        <f t="shared" si="132"/>
        <v>0</v>
      </c>
      <c r="AZ163">
        <f t="shared" si="130"/>
        <v>0</v>
      </c>
      <c r="BA163">
        <f t="shared" si="131"/>
        <v>0</v>
      </c>
      <c r="BJ163">
        <f t="shared" si="133"/>
        <v>0</v>
      </c>
      <c r="BK163">
        <f t="shared" si="134"/>
        <v>0</v>
      </c>
    </row>
    <row r="164" spans="1:63" x14ac:dyDescent="0.2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2"/>
        <v>0</v>
      </c>
      <c r="S164">
        <f t="shared" si="121"/>
        <v>0</v>
      </c>
      <c r="AD164">
        <f t="shared" si="123"/>
        <v>0</v>
      </c>
      <c r="AE164">
        <f t="shared" si="124"/>
        <v>0</v>
      </c>
      <c r="AF164">
        <f t="shared" si="125"/>
        <v>0</v>
      </c>
      <c r="AG164">
        <f t="shared" si="126"/>
        <v>0</v>
      </c>
      <c r="AH164">
        <f t="shared" si="127"/>
        <v>0</v>
      </c>
      <c r="AW164">
        <f t="shared" si="128"/>
        <v>0</v>
      </c>
      <c r="AX164">
        <f t="shared" si="129"/>
        <v>0</v>
      </c>
      <c r="AY164">
        <f t="shared" si="132"/>
        <v>0</v>
      </c>
      <c r="AZ164">
        <f t="shared" si="130"/>
        <v>0</v>
      </c>
      <c r="BA164">
        <f t="shared" si="131"/>
        <v>0</v>
      </c>
      <c r="BJ164">
        <f t="shared" si="133"/>
        <v>0</v>
      </c>
      <c r="BK164">
        <f t="shared" si="134"/>
        <v>0</v>
      </c>
    </row>
    <row r="165" spans="1:63" x14ac:dyDescent="0.2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2"/>
        <v>0</v>
      </c>
      <c r="S165">
        <f t="shared" si="121"/>
        <v>0</v>
      </c>
      <c r="AD165">
        <f t="shared" si="123"/>
        <v>0</v>
      </c>
      <c r="AE165">
        <f t="shared" si="124"/>
        <v>0</v>
      </c>
      <c r="AF165">
        <f t="shared" si="125"/>
        <v>0</v>
      </c>
      <c r="AG165">
        <f t="shared" si="126"/>
        <v>0</v>
      </c>
      <c r="AH165">
        <f t="shared" si="127"/>
        <v>0</v>
      </c>
      <c r="AW165">
        <f t="shared" si="128"/>
        <v>0</v>
      </c>
      <c r="AX165">
        <f t="shared" si="129"/>
        <v>0</v>
      </c>
      <c r="AY165">
        <f t="shared" si="132"/>
        <v>0</v>
      </c>
      <c r="AZ165">
        <f t="shared" si="130"/>
        <v>0</v>
      </c>
      <c r="BA165">
        <f t="shared" si="131"/>
        <v>0</v>
      </c>
      <c r="BJ165">
        <f t="shared" si="133"/>
        <v>0</v>
      </c>
      <c r="BK165">
        <f t="shared" si="134"/>
        <v>0</v>
      </c>
    </row>
    <row r="166" spans="1:63" x14ac:dyDescent="0.2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2"/>
        <v>0</v>
      </c>
      <c r="S166">
        <f t="shared" si="121"/>
        <v>0</v>
      </c>
      <c r="AD166">
        <f t="shared" si="123"/>
        <v>0</v>
      </c>
      <c r="AE166">
        <f t="shared" si="124"/>
        <v>0</v>
      </c>
      <c r="AF166">
        <f t="shared" si="125"/>
        <v>0</v>
      </c>
      <c r="AG166">
        <f t="shared" si="126"/>
        <v>0</v>
      </c>
      <c r="AH166">
        <f t="shared" si="127"/>
        <v>0</v>
      </c>
      <c r="AW166">
        <f t="shared" si="128"/>
        <v>0</v>
      </c>
      <c r="AX166">
        <f t="shared" si="129"/>
        <v>0</v>
      </c>
      <c r="AY166">
        <f t="shared" si="132"/>
        <v>0</v>
      </c>
      <c r="AZ166">
        <f t="shared" si="130"/>
        <v>0</v>
      </c>
      <c r="BA166">
        <f t="shared" si="131"/>
        <v>0</v>
      </c>
      <c r="BJ166">
        <f t="shared" si="133"/>
        <v>0</v>
      </c>
      <c r="BK166">
        <f t="shared" si="134"/>
        <v>0</v>
      </c>
    </row>
    <row r="167" spans="1:63" x14ac:dyDescent="0.2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2"/>
        <v>0</v>
      </c>
      <c r="S167">
        <f t="shared" si="121"/>
        <v>0</v>
      </c>
      <c r="AD167">
        <f t="shared" si="123"/>
        <v>0</v>
      </c>
      <c r="AE167">
        <f t="shared" si="124"/>
        <v>0</v>
      </c>
      <c r="AF167">
        <f t="shared" si="125"/>
        <v>0</v>
      </c>
      <c r="AG167">
        <f t="shared" si="126"/>
        <v>0</v>
      </c>
      <c r="AH167">
        <f t="shared" si="127"/>
        <v>0</v>
      </c>
      <c r="AW167">
        <f t="shared" si="128"/>
        <v>0</v>
      </c>
      <c r="AX167">
        <f t="shared" si="129"/>
        <v>0</v>
      </c>
      <c r="AY167">
        <f t="shared" si="132"/>
        <v>0</v>
      </c>
      <c r="AZ167">
        <f t="shared" si="130"/>
        <v>0</v>
      </c>
      <c r="BA167">
        <f t="shared" si="131"/>
        <v>0</v>
      </c>
      <c r="BJ167">
        <f t="shared" si="133"/>
        <v>0</v>
      </c>
      <c r="BK167">
        <f t="shared" si="134"/>
        <v>0</v>
      </c>
    </row>
    <row r="168" spans="1:63" x14ac:dyDescent="0.2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2"/>
        <v>0</v>
      </c>
      <c r="S168">
        <f t="shared" si="121"/>
        <v>0</v>
      </c>
      <c r="AD168">
        <f t="shared" si="123"/>
        <v>0</v>
      </c>
      <c r="AE168">
        <f t="shared" si="124"/>
        <v>0</v>
      </c>
      <c r="AF168">
        <f t="shared" si="125"/>
        <v>0</v>
      </c>
      <c r="AG168">
        <f t="shared" si="126"/>
        <v>0</v>
      </c>
      <c r="AH168">
        <f t="shared" si="127"/>
        <v>0</v>
      </c>
      <c r="AW168">
        <f t="shared" si="128"/>
        <v>0</v>
      </c>
      <c r="AX168">
        <f t="shared" si="129"/>
        <v>0</v>
      </c>
      <c r="AY168">
        <f t="shared" si="132"/>
        <v>0</v>
      </c>
      <c r="AZ168">
        <f t="shared" si="130"/>
        <v>0</v>
      </c>
      <c r="BA168">
        <f t="shared" si="131"/>
        <v>0</v>
      </c>
      <c r="BJ168">
        <f t="shared" si="133"/>
        <v>0</v>
      </c>
      <c r="BK168">
        <f t="shared" si="134"/>
        <v>0</v>
      </c>
    </row>
    <row r="169" spans="1:63" x14ac:dyDescent="0.2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2"/>
        <v>0</v>
      </c>
      <c r="S169">
        <f t="shared" si="121"/>
        <v>0</v>
      </c>
      <c r="AD169">
        <f t="shared" si="123"/>
        <v>0</v>
      </c>
      <c r="AE169">
        <f t="shared" si="124"/>
        <v>0</v>
      </c>
      <c r="AF169">
        <f t="shared" si="125"/>
        <v>0</v>
      </c>
      <c r="AG169">
        <f t="shared" si="126"/>
        <v>0</v>
      </c>
      <c r="AH169">
        <f t="shared" si="127"/>
        <v>0</v>
      </c>
      <c r="AW169">
        <f t="shared" si="128"/>
        <v>0</v>
      </c>
      <c r="AX169">
        <f t="shared" si="129"/>
        <v>0</v>
      </c>
      <c r="AY169">
        <f t="shared" si="132"/>
        <v>0</v>
      </c>
      <c r="AZ169">
        <f t="shared" si="130"/>
        <v>0</v>
      </c>
      <c r="BA169">
        <f t="shared" si="131"/>
        <v>0</v>
      </c>
      <c r="BJ169">
        <f t="shared" si="133"/>
        <v>0</v>
      </c>
      <c r="BK169">
        <f t="shared" si="134"/>
        <v>0</v>
      </c>
    </row>
    <row r="170" spans="1:63" x14ac:dyDescent="0.2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2"/>
        <v>0</v>
      </c>
      <c r="S170">
        <f t="shared" si="121"/>
        <v>0</v>
      </c>
      <c r="AD170">
        <f t="shared" si="123"/>
        <v>0</v>
      </c>
      <c r="AE170">
        <f t="shared" si="124"/>
        <v>0</v>
      </c>
      <c r="AF170">
        <f t="shared" si="125"/>
        <v>0</v>
      </c>
      <c r="AG170">
        <f t="shared" si="126"/>
        <v>0</v>
      </c>
      <c r="AH170">
        <f t="shared" si="127"/>
        <v>0</v>
      </c>
      <c r="AW170">
        <f t="shared" si="128"/>
        <v>0</v>
      </c>
      <c r="AX170">
        <f t="shared" si="129"/>
        <v>0</v>
      </c>
      <c r="AY170">
        <f t="shared" si="132"/>
        <v>0</v>
      </c>
      <c r="AZ170">
        <f t="shared" si="130"/>
        <v>0</v>
      </c>
      <c r="BA170">
        <f t="shared" si="131"/>
        <v>0</v>
      </c>
      <c r="BJ170">
        <f t="shared" si="133"/>
        <v>0</v>
      </c>
      <c r="BK170">
        <f t="shared" si="134"/>
        <v>0</v>
      </c>
    </row>
    <row r="171" spans="1:63" x14ac:dyDescent="0.2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2"/>
        <v>0</v>
      </c>
      <c r="S171">
        <f t="shared" si="121"/>
        <v>0</v>
      </c>
      <c r="AD171">
        <f t="shared" si="123"/>
        <v>0</v>
      </c>
      <c r="AE171">
        <f t="shared" si="124"/>
        <v>0</v>
      </c>
      <c r="AF171">
        <f t="shared" si="125"/>
        <v>0</v>
      </c>
      <c r="AG171">
        <f t="shared" si="126"/>
        <v>0</v>
      </c>
      <c r="AH171">
        <f t="shared" si="127"/>
        <v>0</v>
      </c>
      <c r="AW171">
        <f t="shared" si="128"/>
        <v>0</v>
      </c>
      <c r="AX171">
        <f t="shared" si="129"/>
        <v>0</v>
      </c>
      <c r="AY171">
        <f t="shared" si="132"/>
        <v>0</v>
      </c>
      <c r="AZ171">
        <f t="shared" si="130"/>
        <v>0</v>
      </c>
      <c r="BA171">
        <f t="shared" si="131"/>
        <v>0</v>
      </c>
      <c r="BJ171">
        <f t="shared" si="133"/>
        <v>0</v>
      </c>
      <c r="BK171">
        <f t="shared" si="134"/>
        <v>0</v>
      </c>
    </row>
    <row r="172" spans="1:63" x14ac:dyDescent="0.2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2"/>
        <v>0</v>
      </c>
      <c r="S172">
        <f t="shared" si="121"/>
        <v>0</v>
      </c>
      <c r="AD172">
        <f t="shared" si="123"/>
        <v>0</v>
      </c>
      <c r="AE172">
        <f t="shared" si="124"/>
        <v>0</v>
      </c>
      <c r="AF172">
        <f t="shared" si="125"/>
        <v>0</v>
      </c>
      <c r="AG172">
        <f t="shared" si="126"/>
        <v>0</v>
      </c>
      <c r="AH172">
        <f t="shared" si="127"/>
        <v>0</v>
      </c>
      <c r="AW172">
        <f t="shared" si="128"/>
        <v>0</v>
      </c>
      <c r="AX172">
        <f t="shared" si="129"/>
        <v>0</v>
      </c>
      <c r="AY172">
        <f t="shared" si="132"/>
        <v>0</v>
      </c>
      <c r="AZ172">
        <f t="shared" si="130"/>
        <v>0</v>
      </c>
      <c r="BA172">
        <f t="shared" si="131"/>
        <v>0</v>
      </c>
      <c r="BJ172">
        <f t="shared" si="133"/>
        <v>0</v>
      </c>
      <c r="BK172">
        <f t="shared" si="134"/>
        <v>0</v>
      </c>
    </row>
    <row r="173" spans="1:63" x14ac:dyDescent="0.2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2"/>
        <v>0</v>
      </c>
      <c r="S173">
        <f t="shared" si="121"/>
        <v>0</v>
      </c>
      <c r="AD173">
        <f t="shared" si="123"/>
        <v>0</v>
      </c>
      <c r="AE173">
        <f t="shared" si="124"/>
        <v>0</v>
      </c>
      <c r="AF173">
        <f t="shared" si="125"/>
        <v>0</v>
      </c>
      <c r="AG173">
        <f t="shared" si="126"/>
        <v>0</v>
      </c>
      <c r="AH173">
        <f t="shared" si="127"/>
        <v>0</v>
      </c>
      <c r="AW173">
        <f t="shared" si="128"/>
        <v>0</v>
      </c>
      <c r="AX173">
        <f t="shared" si="129"/>
        <v>0</v>
      </c>
      <c r="AY173">
        <f t="shared" si="132"/>
        <v>0</v>
      </c>
      <c r="AZ173">
        <f t="shared" si="130"/>
        <v>0</v>
      </c>
      <c r="BA173">
        <f t="shared" si="131"/>
        <v>0</v>
      </c>
      <c r="BJ173">
        <f t="shared" si="133"/>
        <v>0</v>
      </c>
      <c r="BK173">
        <f t="shared" si="134"/>
        <v>0</v>
      </c>
    </row>
    <row r="174" spans="1:63" x14ac:dyDescent="0.2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2"/>
        <v>0</v>
      </c>
      <c r="S174">
        <f t="shared" si="121"/>
        <v>0</v>
      </c>
      <c r="AD174">
        <f t="shared" si="123"/>
        <v>0</v>
      </c>
      <c r="AE174">
        <f t="shared" si="124"/>
        <v>0</v>
      </c>
      <c r="AF174">
        <f t="shared" si="125"/>
        <v>0</v>
      </c>
      <c r="AG174">
        <f t="shared" si="126"/>
        <v>0</v>
      </c>
      <c r="AH174">
        <f t="shared" si="127"/>
        <v>0</v>
      </c>
      <c r="AW174">
        <f t="shared" si="128"/>
        <v>0</v>
      </c>
      <c r="AX174">
        <f t="shared" si="129"/>
        <v>0</v>
      </c>
      <c r="AY174">
        <f t="shared" si="132"/>
        <v>0</v>
      </c>
      <c r="AZ174">
        <f t="shared" si="130"/>
        <v>0</v>
      </c>
      <c r="BA174">
        <f t="shared" si="131"/>
        <v>0</v>
      </c>
      <c r="BJ174">
        <f t="shared" si="133"/>
        <v>0</v>
      </c>
      <c r="BK174">
        <f t="shared" si="134"/>
        <v>0</v>
      </c>
    </row>
    <row r="175" spans="1:63" x14ac:dyDescent="0.2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2"/>
        <v>0</v>
      </c>
      <c r="S175">
        <f t="shared" si="121"/>
        <v>0</v>
      </c>
      <c r="AD175">
        <f t="shared" si="123"/>
        <v>0</v>
      </c>
      <c r="AE175">
        <f t="shared" si="124"/>
        <v>0</v>
      </c>
      <c r="AF175">
        <f t="shared" si="125"/>
        <v>0</v>
      </c>
      <c r="AG175">
        <f t="shared" si="126"/>
        <v>0</v>
      </c>
      <c r="AH175">
        <f t="shared" si="127"/>
        <v>0</v>
      </c>
      <c r="AW175">
        <f t="shared" si="128"/>
        <v>0</v>
      </c>
      <c r="AX175">
        <f t="shared" si="129"/>
        <v>0</v>
      </c>
      <c r="AY175">
        <f t="shared" si="132"/>
        <v>0</v>
      </c>
      <c r="AZ175">
        <f t="shared" si="130"/>
        <v>0</v>
      </c>
      <c r="BA175">
        <f t="shared" si="131"/>
        <v>0</v>
      </c>
      <c r="BJ175">
        <f t="shared" si="133"/>
        <v>0</v>
      </c>
      <c r="BK175">
        <f t="shared" si="134"/>
        <v>0</v>
      </c>
    </row>
    <row r="176" spans="1:63" x14ac:dyDescent="0.2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2"/>
        <v>0</v>
      </c>
      <c r="S176">
        <f t="shared" si="121"/>
        <v>0</v>
      </c>
      <c r="AD176">
        <f t="shared" si="123"/>
        <v>0</v>
      </c>
      <c r="AE176">
        <f t="shared" si="124"/>
        <v>0</v>
      </c>
      <c r="AF176">
        <f t="shared" si="125"/>
        <v>0</v>
      </c>
      <c r="AG176">
        <f t="shared" si="126"/>
        <v>0</v>
      </c>
      <c r="AH176">
        <f t="shared" si="127"/>
        <v>0</v>
      </c>
      <c r="AW176">
        <f t="shared" si="128"/>
        <v>0</v>
      </c>
      <c r="AX176">
        <f t="shared" si="129"/>
        <v>0</v>
      </c>
      <c r="AY176">
        <f t="shared" si="132"/>
        <v>0</v>
      </c>
      <c r="AZ176">
        <f t="shared" si="130"/>
        <v>0</v>
      </c>
      <c r="BA176">
        <f t="shared" si="131"/>
        <v>0</v>
      </c>
      <c r="BJ176">
        <f t="shared" si="133"/>
        <v>0</v>
      </c>
      <c r="BK176">
        <f t="shared" si="134"/>
        <v>0</v>
      </c>
    </row>
    <row r="177" spans="1:63" x14ac:dyDescent="0.2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2"/>
        <v>0</v>
      </c>
      <c r="S177">
        <f t="shared" si="121"/>
        <v>0</v>
      </c>
      <c r="AD177">
        <f t="shared" si="123"/>
        <v>0</v>
      </c>
      <c r="AE177">
        <f t="shared" si="124"/>
        <v>0</v>
      </c>
      <c r="AF177">
        <f t="shared" si="125"/>
        <v>0</v>
      </c>
      <c r="AG177">
        <f t="shared" si="126"/>
        <v>0</v>
      </c>
      <c r="AH177">
        <f t="shared" si="127"/>
        <v>0</v>
      </c>
      <c r="AW177">
        <f t="shared" si="128"/>
        <v>0</v>
      </c>
      <c r="AX177">
        <f t="shared" si="129"/>
        <v>0</v>
      </c>
      <c r="AY177">
        <f t="shared" si="132"/>
        <v>0</v>
      </c>
      <c r="AZ177">
        <f t="shared" si="130"/>
        <v>0</v>
      </c>
      <c r="BA177">
        <f t="shared" si="131"/>
        <v>0</v>
      </c>
      <c r="BJ177">
        <f t="shared" si="133"/>
        <v>0</v>
      </c>
      <c r="BK177">
        <f t="shared" si="134"/>
        <v>0</v>
      </c>
    </row>
    <row r="178" spans="1:63" x14ac:dyDescent="0.2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2"/>
        <v>0</v>
      </c>
      <c r="S178">
        <f t="shared" si="121"/>
        <v>0</v>
      </c>
      <c r="AD178">
        <f t="shared" si="123"/>
        <v>0</v>
      </c>
      <c r="AE178">
        <f t="shared" si="124"/>
        <v>0</v>
      </c>
      <c r="AF178">
        <f t="shared" si="125"/>
        <v>0</v>
      </c>
      <c r="AG178">
        <f t="shared" si="126"/>
        <v>0</v>
      </c>
      <c r="AH178">
        <f t="shared" si="127"/>
        <v>0</v>
      </c>
      <c r="AW178">
        <f t="shared" si="128"/>
        <v>0</v>
      </c>
      <c r="AX178">
        <f t="shared" si="129"/>
        <v>0</v>
      </c>
      <c r="AY178">
        <f t="shared" si="132"/>
        <v>0</v>
      </c>
      <c r="AZ178">
        <f t="shared" si="130"/>
        <v>0</v>
      </c>
      <c r="BA178">
        <f t="shared" si="131"/>
        <v>0</v>
      </c>
      <c r="BJ178">
        <f t="shared" si="133"/>
        <v>0</v>
      </c>
      <c r="BK178">
        <f t="shared" si="134"/>
        <v>0</v>
      </c>
    </row>
    <row r="179" spans="1:63" x14ac:dyDescent="0.2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2"/>
        <v>0</v>
      </c>
      <c r="S179">
        <f t="shared" si="121"/>
        <v>0</v>
      </c>
      <c r="AD179">
        <f t="shared" si="123"/>
        <v>0</v>
      </c>
      <c r="AE179">
        <f t="shared" si="124"/>
        <v>0</v>
      </c>
      <c r="AF179">
        <f t="shared" si="125"/>
        <v>0</v>
      </c>
      <c r="AG179">
        <f t="shared" si="126"/>
        <v>0</v>
      </c>
      <c r="AH179">
        <f t="shared" si="127"/>
        <v>0</v>
      </c>
      <c r="AW179">
        <f t="shared" si="128"/>
        <v>0</v>
      </c>
      <c r="AX179">
        <f t="shared" si="129"/>
        <v>0</v>
      </c>
      <c r="AY179">
        <f t="shared" si="132"/>
        <v>0</v>
      </c>
      <c r="AZ179">
        <f t="shared" si="130"/>
        <v>0</v>
      </c>
      <c r="BA179">
        <f t="shared" si="131"/>
        <v>0</v>
      </c>
      <c r="BJ179">
        <f t="shared" si="133"/>
        <v>0</v>
      </c>
      <c r="BK179">
        <f t="shared" si="134"/>
        <v>0</v>
      </c>
    </row>
    <row r="180" spans="1:63" x14ac:dyDescent="0.2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2"/>
        <v>0</v>
      </c>
      <c r="S180">
        <f t="shared" si="121"/>
        <v>0</v>
      </c>
      <c r="AD180">
        <f t="shared" si="123"/>
        <v>0</v>
      </c>
      <c r="AE180">
        <f t="shared" si="124"/>
        <v>0</v>
      </c>
      <c r="AF180">
        <f t="shared" si="125"/>
        <v>0</v>
      </c>
      <c r="AG180">
        <f t="shared" si="126"/>
        <v>0</v>
      </c>
      <c r="AH180">
        <f t="shared" si="127"/>
        <v>0</v>
      </c>
      <c r="AW180">
        <f t="shared" si="128"/>
        <v>0</v>
      </c>
      <c r="AX180">
        <f t="shared" si="129"/>
        <v>0</v>
      </c>
      <c r="AY180">
        <f t="shared" si="132"/>
        <v>0</v>
      </c>
      <c r="AZ180">
        <f t="shared" si="130"/>
        <v>0</v>
      </c>
      <c r="BA180">
        <f t="shared" si="131"/>
        <v>0</v>
      </c>
      <c r="BJ180">
        <f t="shared" si="133"/>
        <v>0</v>
      </c>
      <c r="BK180">
        <f t="shared" si="134"/>
        <v>0</v>
      </c>
    </row>
    <row r="181" spans="1:63" x14ac:dyDescent="0.2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2"/>
        <v>0</v>
      </c>
      <c r="S181">
        <f t="shared" si="121"/>
        <v>0</v>
      </c>
      <c r="AD181">
        <f t="shared" si="123"/>
        <v>0</v>
      </c>
      <c r="AE181">
        <f t="shared" si="124"/>
        <v>0</v>
      </c>
      <c r="AF181">
        <f t="shared" si="125"/>
        <v>0</v>
      </c>
      <c r="AG181">
        <f t="shared" si="126"/>
        <v>0</v>
      </c>
      <c r="AH181">
        <f t="shared" si="127"/>
        <v>0</v>
      </c>
      <c r="AW181">
        <f t="shared" si="128"/>
        <v>0</v>
      </c>
      <c r="AX181">
        <f t="shared" si="129"/>
        <v>0</v>
      </c>
      <c r="AY181">
        <f t="shared" si="132"/>
        <v>0</v>
      </c>
      <c r="AZ181">
        <f t="shared" si="130"/>
        <v>0</v>
      </c>
      <c r="BA181">
        <f t="shared" si="131"/>
        <v>0</v>
      </c>
      <c r="BJ181">
        <f t="shared" si="133"/>
        <v>0</v>
      </c>
      <c r="BK181">
        <f t="shared" si="134"/>
        <v>0</v>
      </c>
    </row>
    <row r="182" spans="1:63" x14ac:dyDescent="0.2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2"/>
        <v>0</v>
      </c>
      <c r="S182">
        <f t="shared" si="121"/>
        <v>0</v>
      </c>
      <c r="AD182">
        <f t="shared" si="123"/>
        <v>0</v>
      </c>
      <c r="AE182">
        <f t="shared" si="124"/>
        <v>0</v>
      </c>
      <c r="AF182">
        <f t="shared" si="125"/>
        <v>0</v>
      </c>
      <c r="AG182">
        <f t="shared" si="126"/>
        <v>0</v>
      </c>
      <c r="AH182">
        <f t="shared" si="127"/>
        <v>0</v>
      </c>
      <c r="AW182">
        <f t="shared" si="128"/>
        <v>0</v>
      </c>
      <c r="AX182">
        <f t="shared" si="129"/>
        <v>0</v>
      </c>
      <c r="AY182">
        <f t="shared" si="132"/>
        <v>0</v>
      </c>
      <c r="AZ182">
        <f t="shared" si="130"/>
        <v>0</v>
      </c>
      <c r="BA182">
        <f t="shared" si="131"/>
        <v>0</v>
      </c>
      <c r="BJ182">
        <f t="shared" si="133"/>
        <v>0</v>
      </c>
      <c r="BK182">
        <f t="shared" si="134"/>
        <v>0</v>
      </c>
    </row>
    <row r="183" spans="1:63" x14ac:dyDescent="0.2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2"/>
        <v>0</v>
      </c>
      <c r="S183">
        <f t="shared" si="121"/>
        <v>0</v>
      </c>
      <c r="AD183">
        <f t="shared" si="123"/>
        <v>0</v>
      </c>
      <c r="AE183">
        <f t="shared" si="124"/>
        <v>0</v>
      </c>
      <c r="AF183">
        <f t="shared" si="125"/>
        <v>0</v>
      </c>
      <c r="AG183">
        <f t="shared" si="126"/>
        <v>0</v>
      </c>
      <c r="AH183">
        <f t="shared" si="127"/>
        <v>0</v>
      </c>
      <c r="AW183">
        <f t="shared" si="128"/>
        <v>0</v>
      </c>
      <c r="AX183">
        <f t="shared" si="129"/>
        <v>0</v>
      </c>
      <c r="AY183">
        <f t="shared" si="132"/>
        <v>0</v>
      </c>
      <c r="AZ183">
        <f t="shared" si="130"/>
        <v>0</v>
      </c>
      <c r="BA183">
        <f t="shared" si="131"/>
        <v>0</v>
      </c>
      <c r="BJ183">
        <f t="shared" si="133"/>
        <v>0</v>
      </c>
      <c r="BK183">
        <f t="shared" si="134"/>
        <v>0</v>
      </c>
    </row>
    <row r="184" spans="1:63" x14ac:dyDescent="0.2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2"/>
        <v>0</v>
      </c>
      <c r="S184">
        <f t="shared" si="121"/>
        <v>0</v>
      </c>
      <c r="AD184">
        <f t="shared" si="123"/>
        <v>0</v>
      </c>
      <c r="AE184">
        <f t="shared" si="124"/>
        <v>0</v>
      </c>
      <c r="AF184">
        <f t="shared" si="125"/>
        <v>0</v>
      </c>
      <c r="AG184">
        <f t="shared" si="126"/>
        <v>0</v>
      </c>
      <c r="AH184">
        <f t="shared" si="127"/>
        <v>0</v>
      </c>
      <c r="AW184">
        <f t="shared" si="128"/>
        <v>0</v>
      </c>
      <c r="AX184">
        <f t="shared" si="129"/>
        <v>0</v>
      </c>
      <c r="AY184">
        <f t="shared" si="132"/>
        <v>0</v>
      </c>
      <c r="AZ184">
        <f t="shared" si="130"/>
        <v>0</v>
      </c>
      <c r="BA184">
        <f t="shared" si="131"/>
        <v>0</v>
      </c>
      <c r="BJ184">
        <f t="shared" si="133"/>
        <v>0</v>
      </c>
      <c r="BK184">
        <f t="shared" si="134"/>
        <v>0</v>
      </c>
    </row>
    <row r="185" spans="1:63" x14ac:dyDescent="0.2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2"/>
        <v>0</v>
      </c>
      <c r="S185">
        <f t="shared" si="121"/>
        <v>0</v>
      </c>
      <c r="AD185">
        <f t="shared" si="123"/>
        <v>0</v>
      </c>
      <c r="AE185">
        <f t="shared" si="124"/>
        <v>0</v>
      </c>
      <c r="AF185">
        <f t="shared" si="125"/>
        <v>0</v>
      </c>
      <c r="AG185">
        <f t="shared" si="126"/>
        <v>0</v>
      </c>
      <c r="AH185">
        <f t="shared" si="127"/>
        <v>0</v>
      </c>
      <c r="AW185">
        <f t="shared" si="128"/>
        <v>0</v>
      </c>
      <c r="AX185">
        <f t="shared" si="129"/>
        <v>0</v>
      </c>
      <c r="AY185">
        <f t="shared" si="132"/>
        <v>0</v>
      </c>
      <c r="AZ185">
        <f t="shared" si="130"/>
        <v>0</v>
      </c>
      <c r="BA185">
        <f t="shared" si="131"/>
        <v>0</v>
      </c>
      <c r="BJ185">
        <f t="shared" si="133"/>
        <v>0</v>
      </c>
      <c r="BK185">
        <f t="shared" si="134"/>
        <v>0</v>
      </c>
    </row>
    <row r="186" spans="1:63" x14ac:dyDescent="0.2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2"/>
        <v>0</v>
      </c>
      <c r="S186">
        <f t="shared" si="121"/>
        <v>0</v>
      </c>
      <c r="AD186">
        <f t="shared" si="123"/>
        <v>0</v>
      </c>
      <c r="AE186">
        <f t="shared" si="124"/>
        <v>0</v>
      </c>
      <c r="AF186">
        <f t="shared" si="125"/>
        <v>0</v>
      </c>
      <c r="AG186">
        <f t="shared" si="126"/>
        <v>0</v>
      </c>
      <c r="AH186">
        <f t="shared" si="127"/>
        <v>0</v>
      </c>
      <c r="AW186">
        <f t="shared" si="128"/>
        <v>0</v>
      </c>
      <c r="AX186">
        <f t="shared" si="129"/>
        <v>0</v>
      </c>
      <c r="AY186">
        <f t="shared" si="132"/>
        <v>0</v>
      </c>
      <c r="AZ186">
        <f t="shared" si="130"/>
        <v>0</v>
      </c>
      <c r="BA186">
        <f t="shared" si="131"/>
        <v>0</v>
      </c>
      <c r="BJ186">
        <f t="shared" si="133"/>
        <v>0</v>
      </c>
      <c r="BK186">
        <f t="shared" si="134"/>
        <v>0</v>
      </c>
    </row>
    <row r="187" spans="1:63" x14ac:dyDescent="0.2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2"/>
        <v>0</v>
      </c>
      <c r="S187">
        <f t="shared" si="121"/>
        <v>0</v>
      </c>
      <c r="AD187">
        <f t="shared" si="123"/>
        <v>0</v>
      </c>
      <c r="AE187">
        <f t="shared" si="124"/>
        <v>0</v>
      </c>
      <c r="AF187">
        <f t="shared" si="125"/>
        <v>0</v>
      </c>
      <c r="AG187">
        <f t="shared" si="126"/>
        <v>0</v>
      </c>
      <c r="AH187">
        <f t="shared" si="127"/>
        <v>0</v>
      </c>
      <c r="AW187">
        <f t="shared" si="128"/>
        <v>0</v>
      </c>
      <c r="AX187">
        <f t="shared" si="129"/>
        <v>0</v>
      </c>
      <c r="AY187">
        <f t="shared" si="132"/>
        <v>0</v>
      </c>
      <c r="AZ187">
        <f t="shared" si="130"/>
        <v>0</v>
      </c>
      <c r="BA187">
        <f t="shared" si="131"/>
        <v>0</v>
      </c>
      <c r="BJ187">
        <f t="shared" si="133"/>
        <v>0</v>
      </c>
      <c r="BK187">
        <f t="shared" si="134"/>
        <v>0</v>
      </c>
    </row>
    <row r="188" spans="1:63" x14ac:dyDescent="0.2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2"/>
        <v>0</v>
      </c>
      <c r="S188">
        <f t="shared" si="121"/>
        <v>0</v>
      </c>
      <c r="AD188">
        <f t="shared" si="123"/>
        <v>0</v>
      </c>
      <c r="AE188">
        <f t="shared" si="124"/>
        <v>0</v>
      </c>
      <c r="AF188">
        <f t="shared" si="125"/>
        <v>0</v>
      </c>
      <c r="AG188">
        <f t="shared" si="126"/>
        <v>0</v>
      </c>
      <c r="AH188">
        <f t="shared" si="127"/>
        <v>0</v>
      </c>
      <c r="AW188">
        <f t="shared" si="128"/>
        <v>0</v>
      </c>
      <c r="AX188">
        <f t="shared" si="129"/>
        <v>0</v>
      </c>
      <c r="AY188">
        <f t="shared" si="132"/>
        <v>0</v>
      </c>
      <c r="AZ188">
        <f t="shared" si="130"/>
        <v>0</v>
      </c>
      <c r="BA188">
        <f t="shared" si="131"/>
        <v>0</v>
      </c>
      <c r="BJ188">
        <f t="shared" si="133"/>
        <v>0</v>
      </c>
      <c r="BK188">
        <f t="shared" si="134"/>
        <v>0</v>
      </c>
    </row>
    <row r="189" spans="1:63" x14ac:dyDescent="0.2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2"/>
        <v>0</v>
      </c>
      <c r="S189">
        <f t="shared" si="121"/>
        <v>0</v>
      </c>
      <c r="AD189">
        <f t="shared" si="123"/>
        <v>0</v>
      </c>
      <c r="AE189">
        <f t="shared" si="124"/>
        <v>0</v>
      </c>
      <c r="AF189">
        <f t="shared" si="125"/>
        <v>0</v>
      </c>
      <c r="AG189">
        <f t="shared" si="126"/>
        <v>0</v>
      </c>
      <c r="AH189">
        <f t="shared" si="127"/>
        <v>0</v>
      </c>
      <c r="AW189">
        <f t="shared" si="128"/>
        <v>0</v>
      </c>
      <c r="AX189">
        <f t="shared" si="129"/>
        <v>0</v>
      </c>
      <c r="AY189">
        <f t="shared" si="132"/>
        <v>0</v>
      </c>
      <c r="AZ189">
        <f t="shared" si="130"/>
        <v>0</v>
      </c>
      <c r="BA189">
        <f t="shared" si="131"/>
        <v>0</v>
      </c>
      <c r="BJ189">
        <f t="shared" si="133"/>
        <v>0</v>
      </c>
      <c r="BK189">
        <f t="shared" si="134"/>
        <v>0</v>
      </c>
    </row>
    <row r="190" spans="1:63" x14ac:dyDescent="0.2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2"/>
        <v>0</v>
      </c>
      <c r="S190">
        <f t="shared" si="121"/>
        <v>0</v>
      </c>
      <c r="AD190">
        <f t="shared" si="123"/>
        <v>0</v>
      </c>
      <c r="AE190">
        <f t="shared" si="124"/>
        <v>0</v>
      </c>
      <c r="AF190">
        <f t="shared" si="125"/>
        <v>0</v>
      </c>
      <c r="AG190">
        <f t="shared" si="126"/>
        <v>0</v>
      </c>
      <c r="AH190">
        <f t="shared" si="127"/>
        <v>0</v>
      </c>
      <c r="AW190">
        <f t="shared" si="128"/>
        <v>0</v>
      </c>
      <c r="AX190">
        <f t="shared" si="129"/>
        <v>0</v>
      </c>
      <c r="AY190">
        <f t="shared" si="132"/>
        <v>0</v>
      </c>
      <c r="AZ190">
        <f t="shared" si="130"/>
        <v>0</v>
      </c>
      <c r="BA190">
        <f t="shared" si="131"/>
        <v>0</v>
      </c>
      <c r="BJ190">
        <f t="shared" si="133"/>
        <v>0</v>
      </c>
      <c r="BK190">
        <f t="shared" si="134"/>
        <v>0</v>
      </c>
    </row>
    <row r="191" spans="1:63" x14ac:dyDescent="0.2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2"/>
        <v>0</v>
      </c>
      <c r="S191">
        <f t="shared" si="121"/>
        <v>0</v>
      </c>
      <c r="AD191">
        <f t="shared" si="123"/>
        <v>0</v>
      </c>
      <c r="AE191">
        <f t="shared" si="124"/>
        <v>0</v>
      </c>
      <c r="AF191">
        <f t="shared" si="125"/>
        <v>0</v>
      </c>
      <c r="AG191">
        <f t="shared" si="126"/>
        <v>0</v>
      </c>
      <c r="AH191">
        <f t="shared" si="127"/>
        <v>0</v>
      </c>
      <c r="AW191">
        <f t="shared" si="128"/>
        <v>0</v>
      </c>
      <c r="AX191">
        <f t="shared" si="129"/>
        <v>0</v>
      </c>
      <c r="AY191">
        <f t="shared" si="132"/>
        <v>0</v>
      </c>
      <c r="AZ191">
        <f t="shared" si="130"/>
        <v>0</v>
      </c>
      <c r="BA191">
        <f t="shared" si="131"/>
        <v>0</v>
      </c>
      <c r="BJ191">
        <f t="shared" si="133"/>
        <v>0</v>
      </c>
      <c r="BK191">
        <f t="shared" si="134"/>
        <v>0</v>
      </c>
    </row>
    <row r="192" spans="1:63" x14ac:dyDescent="0.2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2"/>
        <v>0</v>
      </c>
      <c r="S192">
        <f t="shared" si="121"/>
        <v>0</v>
      </c>
      <c r="AD192">
        <f t="shared" si="123"/>
        <v>0</v>
      </c>
      <c r="AE192">
        <f t="shared" si="124"/>
        <v>0</v>
      </c>
      <c r="AF192">
        <f t="shared" si="125"/>
        <v>0</v>
      </c>
      <c r="AG192">
        <f t="shared" si="126"/>
        <v>0</v>
      </c>
      <c r="AH192">
        <f t="shared" si="127"/>
        <v>0</v>
      </c>
      <c r="AW192">
        <f t="shared" si="128"/>
        <v>0</v>
      </c>
      <c r="AX192">
        <f t="shared" si="129"/>
        <v>0</v>
      </c>
      <c r="AY192">
        <f t="shared" si="132"/>
        <v>0</v>
      </c>
      <c r="AZ192">
        <f t="shared" si="130"/>
        <v>0</v>
      </c>
      <c r="BA192">
        <f t="shared" si="131"/>
        <v>0</v>
      </c>
      <c r="BJ192">
        <f t="shared" si="133"/>
        <v>0</v>
      </c>
      <c r="BK192">
        <f t="shared" si="134"/>
        <v>0</v>
      </c>
    </row>
    <row r="193" spans="1:63" x14ac:dyDescent="0.2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2"/>
        <v>0</v>
      </c>
      <c r="S193">
        <f t="shared" si="121"/>
        <v>0</v>
      </c>
      <c r="AD193">
        <f t="shared" si="123"/>
        <v>0</v>
      </c>
      <c r="AE193">
        <f t="shared" si="124"/>
        <v>0</v>
      </c>
      <c r="AF193">
        <f t="shared" si="125"/>
        <v>0</v>
      </c>
      <c r="AG193">
        <f t="shared" si="126"/>
        <v>0</v>
      </c>
      <c r="AH193">
        <f t="shared" si="127"/>
        <v>0</v>
      </c>
      <c r="AW193">
        <f t="shared" si="128"/>
        <v>0</v>
      </c>
      <c r="AX193">
        <f t="shared" si="129"/>
        <v>0</v>
      </c>
      <c r="AY193">
        <f t="shared" si="132"/>
        <v>0</v>
      </c>
      <c r="AZ193">
        <f t="shared" si="130"/>
        <v>0</v>
      </c>
      <c r="BA193">
        <f t="shared" si="131"/>
        <v>0</v>
      </c>
      <c r="BJ193">
        <f t="shared" si="133"/>
        <v>0</v>
      </c>
      <c r="BK193">
        <f t="shared" si="134"/>
        <v>0</v>
      </c>
    </row>
    <row r="194" spans="1:63" x14ac:dyDescent="0.2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2"/>
        <v>0</v>
      </c>
      <c r="S194">
        <f t="shared" ref="S194:S250" si="135">IF(A194&gt;0,H194*$P$28/F194,0)</f>
        <v>0</v>
      </c>
      <c r="AD194">
        <f t="shared" si="123"/>
        <v>0</v>
      </c>
      <c r="AE194">
        <f t="shared" si="124"/>
        <v>0</v>
      </c>
      <c r="AF194">
        <f t="shared" si="125"/>
        <v>0</v>
      </c>
      <c r="AG194">
        <f t="shared" si="126"/>
        <v>0</v>
      </c>
      <c r="AH194">
        <f t="shared" si="127"/>
        <v>0</v>
      </c>
      <c r="AW194">
        <f t="shared" si="128"/>
        <v>0</v>
      </c>
      <c r="AX194">
        <f t="shared" si="129"/>
        <v>0</v>
      </c>
      <c r="AY194">
        <f t="shared" si="132"/>
        <v>0</v>
      </c>
      <c r="AZ194">
        <f t="shared" si="130"/>
        <v>0</v>
      </c>
      <c r="BA194">
        <f t="shared" si="131"/>
        <v>0</v>
      </c>
      <c r="BJ194">
        <f t="shared" si="133"/>
        <v>0</v>
      </c>
      <c r="BK194">
        <f t="shared" si="134"/>
        <v>0</v>
      </c>
    </row>
    <row r="195" spans="1:63" x14ac:dyDescent="0.2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0" si="136">IF(A195&gt;0,G195*$O$28/E195,0)</f>
        <v>0</v>
      </c>
      <c r="S195">
        <f t="shared" si="135"/>
        <v>0</v>
      </c>
      <c r="AD195">
        <f t="shared" ref="AD195:AD250" si="137">IF(A195&gt;0,C195,0)</f>
        <v>0</v>
      </c>
      <c r="AE195">
        <f t="shared" ref="AE195:AE250" si="138">IF(A195&gt;0,(R195)/(R195^2*$V$10+R195*$V$11+$V$12)*$V$14,0)</f>
        <v>0</v>
      </c>
      <c r="AF195">
        <f t="shared" ref="AF195:AF250" si="139">IF(A195&gt;0,IF(S195&gt;$X$4,(S195)/(S195^2*$X$10+S195*$X$11+$X$12)*$X$14,(S195)/(S195^2*$Z$10+S195*$Z$11+$Z$12)*$Z$14),0)</f>
        <v>0</v>
      </c>
      <c r="AG195">
        <f t="shared" ref="AG195:AG250" si="140">IF(A195&gt;0,(I195)-(R195^2*$W$10+R195*$W$11+$W$12)+$W$14,0)</f>
        <v>0</v>
      </c>
      <c r="AH195">
        <f t="shared" ref="AH195:AH250" si="141">IF(A195&gt;0,(J195)-(S195^2*$Y$10+S195*$Y$11+$Y$12)+$Y$14,0)</f>
        <v>0</v>
      </c>
      <c r="AW195">
        <f t="shared" ref="AW195:AW249" si="142">AD195</f>
        <v>0</v>
      </c>
      <c r="AX195">
        <f t="shared" ref="AX195:AX250" si="143">IF(D195&gt;0,IF(($AN$16*AE195/D195-$AN$18)/$AN$17&gt;$AQ$15,($AN$16*AE195/D195-$AN$18)/$AN$17,($AN$16*AE195/D195-$AO$18)/$AO$17),0)</f>
        <v>0</v>
      </c>
      <c r="AY195">
        <f t="shared" si="132"/>
        <v>0</v>
      </c>
      <c r="AZ195">
        <f t="shared" ref="AZ195:AZ250" si="144">IF(D195&gt;0,IF(AG195&gt;$AQ$84,(AG195-$AN$84)/$AN$83,(AG195-$AO$84)/$AO$83),0)</f>
        <v>0</v>
      </c>
      <c r="BA195">
        <f t="shared" ref="BA195:BA250" si="145">IF(D195&gt;0,IF((AH195-$AN$117)/$AN$116&lt;$AQ$117,(AH195-$AN$117)/$AN$116,(AH195-$AO$117)/$AO$116),0)</f>
        <v>0</v>
      </c>
      <c r="BJ195">
        <f t="shared" si="133"/>
        <v>0</v>
      </c>
      <c r="BK195">
        <f t="shared" si="134"/>
        <v>0</v>
      </c>
    </row>
    <row r="196" spans="1:63" x14ac:dyDescent="0.2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6"/>
        <v>0</v>
      </c>
      <c r="S196">
        <f t="shared" si="135"/>
        <v>0</v>
      </c>
      <c r="AD196">
        <f t="shared" si="137"/>
        <v>0</v>
      </c>
      <c r="AE196">
        <f t="shared" si="138"/>
        <v>0</v>
      </c>
      <c r="AF196">
        <f t="shared" si="139"/>
        <v>0</v>
      </c>
      <c r="AG196">
        <f t="shared" si="140"/>
        <v>0</v>
      </c>
      <c r="AH196">
        <f t="shared" si="141"/>
        <v>0</v>
      </c>
      <c r="AW196">
        <f t="shared" si="142"/>
        <v>0</v>
      </c>
      <c r="AX196">
        <f t="shared" si="143"/>
        <v>0</v>
      </c>
      <c r="AY196">
        <f t="shared" ref="AY196:AY250" si="146">IF(D196&gt;0,IF($M$2=1,($AN$50*AF196/D196-$AN$52)/$AN$51*46.6/(($AN$50*AVERAGE($AM$22:$AM$29)/AVERAGE($AK$22:$AK$29)-$AN$52)/$AN$51),($AN$50*AF196/D196-$AN$52)/$AN$51),0)</f>
        <v>0</v>
      </c>
      <c r="AZ196">
        <f t="shared" si="144"/>
        <v>0</v>
      </c>
      <c r="BA196">
        <f t="shared" si="145"/>
        <v>0</v>
      </c>
      <c r="BJ196">
        <f t="shared" si="133"/>
        <v>0</v>
      </c>
      <c r="BK196">
        <f t="shared" si="134"/>
        <v>0</v>
      </c>
    </row>
    <row r="197" spans="1:63" x14ac:dyDescent="0.2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6"/>
        <v>0</v>
      </c>
      <c r="S197">
        <f t="shared" si="135"/>
        <v>0</v>
      </c>
      <c r="AD197">
        <f t="shared" si="137"/>
        <v>0</v>
      </c>
      <c r="AE197">
        <f t="shared" si="138"/>
        <v>0</v>
      </c>
      <c r="AF197">
        <f t="shared" si="139"/>
        <v>0</v>
      </c>
      <c r="AG197">
        <f t="shared" si="140"/>
        <v>0</v>
      </c>
      <c r="AH197">
        <f t="shared" si="141"/>
        <v>0</v>
      </c>
      <c r="AW197">
        <f t="shared" si="142"/>
        <v>0</v>
      </c>
      <c r="AX197">
        <f t="shared" si="143"/>
        <v>0</v>
      </c>
      <c r="AY197">
        <f t="shared" si="146"/>
        <v>0</v>
      </c>
      <c r="AZ197">
        <f t="shared" si="144"/>
        <v>0</v>
      </c>
      <c r="BA197">
        <f t="shared" si="145"/>
        <v>0</v>
      </c>
      <c r="BJ197">
        <f t="shared" ref="BJ197:BJ250" si="147">IF(A197&gt;0,IF(OR(G197&lt;G$4*0.9,G197&gt;G$10*1.1),1,0),0)</f>
        <v>0</v>
      </c>
      <c r="BK197">
        <f t="shared" ref="BK197:BK250" si="148">IF(A197&gt;0,IF(OR(H197&lt;H$4*0.9,H197&gt;H$10*1.1),1,0),0)</f>
        <v>0</v>
      </c>
    </row>
    <row r="198" spans="1:63" x14ac:dyDescent="0.2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6"/>
        <v>0</v>
      </c>
      <c r="S198">
        <f t="shared" si="135"/>
        <v>0</v>
      </c>
      <c r="AD198">
        <f t="shared" si="137"/>
        <v>0</v>
      </c>
      <c r="AE198">
        <f t="shared" si="138"/>
        <v>0</v>
      </c>
      <c r="AF198">
        <f t="shared" si="139"/>
        <v>0</v>
      </c>
      <c r="AG198">
        <f t="shared" si="140"/>
        <v>0</v>
      </c>
      <c r="AH198">
        <f t="shared" si="141"/>
        <v>0</v>
      </c>
      <c r="AW198">
        <f t="shared" si="142"/>
        <v>0</v>
      </c>
      <c r="AX198">
        <f t="shared" si="143"/>
        <v>0</v>
      </c>
      <c r="AY198">
        <f t="shared" si="146"/>
        <v>0</v>
      </c>
      <c r="AZ198">
        <f t="shared" si="144"/>
        <v>0</v>
      </c>
      <c r="BA198">
        <f t="shared" si="145"/>
        <v>0</v>
      </c>
      <c r="BJ198">
        <f t="shared" si="147"/>
        <v>0</v>
      </c>
      <c r="BK198">
        <f t="shared" si="148"/>
        <v>0</v>
      </c>
    </row>
    <row r="199" spans="1:63" x14ac:dyDescent="0.2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6"/>
        <v>0</v>
      </c>
      <c r="S199">
        <f t="shared" si="135"/>
        <v>0</v>
      </c>
      <c r="AD199">
        <f t="shared" si="137"/>
        <v>0</v>
      </c>
      <c r="AE199">
        <f t="shared" si="138"/>
        <v>0</v>
      </c>
      <c r="AF199">
        <f t="shared" si="139"/>
        <v>0</v>
      </c>
      <c r="AG199">
        <f t="shared" si="140"/>
        <v>0</v>
      </c>
      <c r="AH199">
        <f t="shared" si="141"/>
        <v>0</v>
      </c>
      <c r="AW199">
        <f t="shared" si="142"/>
        <v>0</v>
      </c>
      <c r="AX199">
        <f t="shared" si="143"/>
        <v>0</v>
      </c>
      <c r="AY199">
        <f t="shared" si="146"/>
        <v>0</v>
      </c>
      <c r="AZ199">
        <f t="shared" si="144"/>
        <v>0</v>
      </c>
      <c r="BA199">
        <f t="shared" si="145"/>
        <v>0</v>
      </c>
      <c r="BJ199">
        <f t="shared" si="147"/>
        <v>0</v>
      </c>
      <c r="BK199">
        <f t="shared" si="148"/>
        <v>0</v>
      </c>
    </row>
    <row r="200" spans="1:63" x14ac:dyDescent="0.2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6"/>
        <v>0</v>
      </c>
      <c r="S200">
        <f t="shared" si="135"/>
        <v>0</v>
      </c>
      <c r="AD200">
        <f t="shared" si="137"/>
        <v>0</v>
      </c>
      <c r="AE200">
        <f t="shared" si="138"/>
        <v>0</v>
      </c>
      <c r="AF200">
        <f t="shared" si="139"/>
        <v>0</v>
      </c>
      <c r="AG200">
        <f t="shared" si="140"/>
        <v>0</v>
      </c>
      <c r="AH200">
        <f t="shared" si="141"/>
        <v>0</v>
      </c>
      <c r="AW200">
        <f t="shared" si="142"/>
        <v>0</v>
      </c>
      <c r="AX200">
        <f t="shared" si="143"/>
        <v>0</v>
      </c>
      <c r="AY200">
        <f t="shared" si="146"/>
        <v>0</v>
      </c>
      <c r="AZ200">
        <f t="shared" si="144"/>
        <v>0</v>
      </c>
      <c r="BA200">
        <f t="shared" si="145"/>
        <v>0</v>
      </c>
      <c r="BJ200">
        <f t="shared" si="147"/>
        <v>0</v>
      </c>
      <c r="BK200">
        <f t="shared" si="148"/>
        <v>0</v>
      </c>
    </row>
    <row r="201" spans="1:63" x14ac:dyDescent="0.2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6"/>
        <v>0</v>
      </c>
      <c r="S201">
        <f t="shared" si="135"/>
        <v>0</v>
      </c>
      <c r="AD201">
        <f t="shared" si="137"/>
        <v>0</v>
      </c>
      <c r="AE201">
        <f t="shared" si="138"/>
        <v>0</v>
      </c>
      <c r="AF201">
        <f t="shared" si="139"/>
        <v>0</v>
      </c>
      <c r="AG201">
        <f t="shared" si="140"/>
        <v>0</v>
      </c>
      <c r="AH201">
        <f t="shared" si="141"/>
        <v>0</v>
      </c>
      <c r="AW201">
        <f t="shared" si="142"/>
        <v>0</v>
      </c>
      <c r="AX201">
        <f t="shared" si="143"/>
        <v>0</v>
      </c>
      <c r="AY201">
        <f t="shared" si="146"/>
        <v>0</v>
      </c>
      <c r="AZ201">
        <f t="shared" si="144"/>
        <v>0</v>
      </c>
      <c r="BA201">
        <f t="shared" si="145"/>
        <v>0</v>
      </c>
      <c r="BJ201">
        <f t="shared" si="147"/>
        <v>0</v>
      </c>
      <c r="BK201">
        <f t="shared" si="148"/>
        <v>0</v>
      </c>
    </row>
    <row r="202" spans="1:63" x14ac:dyDescent="0.2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6"/>
        <v>0</v>
      </c>
      <c r="S202">
        <f t="shared" si="135"/>
        <v>0</v>
      </c>
      <c r="AD202">
        <f t="shared" si="137"/>
        <v>0</v>
      </c>
      <c r="AE202">
        <f t="shared" si="138"/>
        <v>0</v>
      </c>
      <c r="AF202">
        <f t="shared" si="139"/>
        <v>0</v>
      </c>
      <c r="AG202">
        <f t="shared" si="140"/>
        <v>0</v>
      </c>
      <c r="AH202">
        <f t="shared" si="141"/>
        <v>0</v>
      </c>
      <c r="AW202">
        <f t="shared" si="142"/>
        <v>0</v>
      </c>
      <c r="AX202">
        <f t="shared" si="143"/>
        <v>0</v>
      </c>
      <c r="AY202">
        <f t="shared" si="146"/>
        <v>0</v>
      </c>
      <c r="AZ202">
        <f t="shared" si="144"/>
        <v>0</v>
      </c>
      <c r="BA202">
        <f t="shared" si="145"/>
        <v>0</v>
      </c>
      <c r="BJ202">
        <f t="shared" si="147"/>
        <v>0</v>
      </c>
      <c r="BK202">
        <f t="shared" si="148"/>
        <v>0</v>
      </c>
    </row>
    <row r="203" spans="1:63" x14ac:dyDescent="0.2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6"/>
        <v>0</v>
      </c>
      <c r="S203">
        <f t="shared" si="135"/>
        <v>0</v>
      </c>
      <c r="AD203">
        <f t="shared" si="137"/>
        <v>0</v>
      </c>
      <c r="AE203">
        <f t="shared" si="138"/>
        <v>0</v>
      </c>
      <c r="AF203">
        <f t="shared" si="139"/>
        <v>0</v>
      </c>
      <c r="AG203">
        <f t="shared" si="140"/>
        <v>0</v>
      </c>
      <c r="AH203">
        <f t="shared" si="141"/>
        <v>0</v>
      </c>
      <c r="AW203">
        <f t="shared" si="142"/>
        <v>0</v>
      </c>
      <c r="AX203">
        <f t="shared" si="143"/>
        <v>0</v>
      </c>
      <c r="AY203">
        <f t="shared" si="146"/>
        <v>0</v>
      </c>
      <c r="AZ203">
        <f t="shared" si="144"/>
        <v>0</v>
      </c>
      <c r="BA203">
        <f t="shared" si="145"/>
        <v>0</v>
      </c>
      <c r="BJ203">
        <f t="shared" si="147"/>
        <v>0</v>
      </c>
      <c r="BK203">
        <f t="shared" si="148"/>
        <v>0</v>
      </c>
    </row>
    <row r="204" spans="1:63" x14ac:dyDescent="0.2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6"/>
        <v>0</v>
      </c>
      <c r="S204">
        <f t="shared" si="135"/>
        <v>0</v>
      </c>
      <c r="AD204">
        <f t="shared" si="137"/>
        <v>0</v>
      </c>
      <c r="AE204">
        <f t="shared" si="138"/>
        <v>0</v>
      </c>
      <c r="AF204">
        <f t="shared" si="139"/>
        <v>0</v>
      </c>
      <c r="AG204">
        <f t="shared" si="140"/>
        <v>0</v>
      </c>
      <c r="AH204">
        <f t="shared" si="141"/>
        <v>0</v>
      </c>
      <c r="AW204">
        <f t="shared" si="142"/>
        <v>0</v>
      </c>
      <c r="AX204">
        <f t="shared" si="143"/>
        <v>0</v>
      </c>
      <c r="AY204">
        <f t="shared" si="146"/>
        <v>0</v>
      </c>
      <c r="AZ204">
        <f t="shared" si="144"/>
        <v>0</v>
      </c>
      <c r="BA204">
        <f t="shared" si="145"/>
        <v>0</v>
      </c>
      <c r="BJ204">
        <f t="shared" si="147"/>
        <v>0</v>
      </c>
      <c r="BK204">
        <f t="shared" si="148"/>
        <v>0</v>
      </c>
    </row>
    <row r="205" spans="1:63" x14ac:dyDescent="0.2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6"/>
        <v>0</v>
      </c>
      <c r="S205">
        <f t="shared" si="135"/>
        <v>0</v>
      </c>
      <c r="AD205">
        <f t="shared" si="137"/>
        <v>0</v>
      </c>
      <c r="AE205">
        <f t="shared" si="138"/>
        <v>0</v>
      </c>
      <c r="AF205">
        <f t="shared" si="139"/>
        <v>0</v>
      </c>
      <c r="AG205">
        <f t="shared" si="140"/>
        <v>0</v>
      </c>
      <c r="AH205">
        <f t="shared" si="141"/>
        <v>0</v>
      </c>
      <c r="AW205">
        <f t="shared" si="142"/>
        <v>0</v>
      </c>
      <c r="AX205">
        <f t="shared" si="143"/>
        <v>0</v>
      </c>
      <c r="AY205">
        <f t="shared" si="146"/>
        <v>0</v>
      </c>
      <c r="AZ205">
        <f t="shared" si="144"/>
        <v>0</v>
      </c>
      <c r="BA205">
        <f t="shared" si="145"/>
        <v>0</v>
      </c>
      <c r="BJ205">
        <f t="shared" si="147"/>
        <v>0</v>
      </c>
      <c r="BK205">
        <f t="shared" si="148"/>
        <v>0</v>
      </c>
    </row>
    <row r="206" spans="1:63" x14ac:dyDescent="0.2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6"/>
        <v>0</v>
      </c>
      <c r="S206">
        <f t="shared" si="135"/>
        <v>0</v>
      </c>
      <c r="AD206">
        <f t="shared" si="137"/>
        <v>0</v>
      </c>
      <c r="AE206">
        <f t="shared" si="138"/>
        <v>0</v>
      </c>
      <c r="AF206">
        <f t="shared" si="139"/>
        <v>0</v>
      </c>
      <c r="AG206">
        <f t="shared" si="140"/>
        <v>0</v>
      </c>
      <c r="AH206">
        <f t="shared" si="141"/>
        <v>0</v>
      </c>
      <c r="AW206">
        <f t="shared" si="142"/>
        <v>0</v>
      </c>
      <c r="AX206">
        <f t="shared" si="143"/>
        <v>0</v>
      </c>
      <c r="AY206">
        <f t="shared" si="146"/>
        <v>0</v>
      </c>
      <c r="AZ206">
        <f t="shared" si="144"/>
        <v>0</v>
      </c>
      <c r="BA206">
        <f t="shared" si="145"/>
        <v>0</v>
      </c>
      <c r="BJ206">
        <f t="shared" si="147"/>
        <v>0</v>
      </c>
      <c r="BK206">
        <f t="shared" si="148"/>
        <v>0</v>
      </c>
    </row>
    <row r="207" spans="1:63" x14ac:dyDescent="0.2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6"/>
        <v>0</v>
      </c>
      <c r="S207">
        <f t="shared" si="135"/>
        <v>0</v>
      </c>
      <c r="AD207">
        <f t="shared" si="137"/>
        <v>0</v>
      </c>
      <c r="AE207">
        <f t="shared" si="138"/>
        <v>0</v>
      </c>
      <c r="AF207">
        <f t="shared" si="139"/>
        <v>0</v>
      </c>
      <c r="AG207">
        <f t="shared" si="140"/>
        <v>0</v>
      </c>
      <c r="AH207">
        <f t="shared" si="141"/>
        <v>0</v>
      </c>
      <c r="AW207">
        <f t="shared" si="142"/>
        <v>0</v>
      </c>
      <c r="AX207">
        <f t="shared" si="143"/>
        <v>0</v>
      </c>
      <c r="AY207">
        <f t="shared" si="146"/>
        <v>0</v>
      </c>
      <c r="AZ207">
        <f t="shared" si="144"/>
        <v>0</v>
      </c>
      <c r="BA207">
        <f t="shared" si="145"/>
        <v>0</v>
      </c>
      <c r="BJ207">
        <f t="shared" si="147"/>
        <v>0</v>
      </c>
      <c r="BK207">
        <f t="shared" si="148"/>
        <v>0</v>
      </c>
    </row>
    <row r="208" spans="1:63" x14ac:dyDescent="0.2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6"/>
        <v>0</v>
      </c>
      <c r="S208">
        <f t="shared" si="135"/>
        <v>0</v>
      </c>
      <c r="AD208">
        <f t="shared" si="137"/>
        <v>0</v>
      </c>
      <c r="AE208">
        <f t="shared" si="138"/>
        <v>0</v>
      </c>
      <c r="AF208">
        <f t="shared" si="139"/>
        <v>0</v>
      </c>
      <c r="AG208">
        <f t="shared" si="140"/>
        <v>0</v>
      </c>
      <c r="AH208">
        <f t="shared" si="141"/>
        <v>0</v>
      </c>
      <c r="AW208">
        <f t="shared" si="142"/>
        <v>0</v>
      </c>
      <c r="AX208">
        <f t="shared" si="143"/>
        <v>0</v>
      </c>
      <c r="AY208">
        <f t="shared" si="146"/>
        <v>0</v>
      </c>
      <c r="AZ208">
        <f t="shared" si="144"/>
        <v>0</v>
      </c>
      <c r="BA208">
        <f t="shared" si="145"/>
        <v>0</v>
      </c>
      <c r="BJ208">
        <f t="shared" si="147"/>
        <v>0</v>
      </c>
      <c r="BK208">
        <f t="shared" si="148"/>
        <v>0</v>
      </c>
    </row>
    <row r="209" spans="1:63" x14ac:dyDescent="0.2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6"/>
        <v>0</v>
      </c>
      <c r="S209">
        <f t="shared" si="135"/>
        <v>0</v>
      </c>
      <c r="AD209">
        <f t="shared" si="137"/>
        <v>0</v>
      </c>
      <c r="AE209">
        <f t="shared" si="138"/>
        <v>0</v>
      </c>
      <c r="AF209">
        <f t="shared" si="139"/>
        <v>0</v>
      </c>
      <c r="AG209">
        <f t="shared" si="140"/>
        <v>0</v>
      </c>
      <c r="AH209">
        <f t="shared" si="141"/>
        <v>0</v>
      </c>
      <c r="AW209">
        <f t="shared" si="142"/>
        <v>0</v>
      </c>
      <c r="AX209">
        <f t="shared" si="143"/>
        <v>0</v>
      </c>
      <c r="AY209">
        <f t="shared" si="146"/>
        <v>0</v>
      </c>
      <c r="AZ209">
        <f t="shared" si="144"/>
        <v>0</v>
      </c>
      <c r="BA209">
        <f t="shared" si="145"/>
        <v>0</v>
      </c>
      <c r="BJ209">
        <f t="shared" si="147"/>
        <v>0</v>
      </c>
      <c r="BK209">
        <f t="shared" si="148"/>
        <v>0</v>
      </c>
    </row>
    <row r="210" spans="1:63" x14ac:dyDescent="0.2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6"/>
        <v>0</v>
      </c>
      <c r="S210">
        <f t="shared" si="135"/>
        <v>0</v>
      </c>
      <c r="AD210">
        <f t="shared" si="137"/>
        <v>0</v>
      </c>
      <c r="AE210">
        <f t="shared" si="138"/>
        <v>0</v>
      </c>
      <c r="AF210">
        <f t="shared" si="139"/>
        <v>0</v>
      </c>
      <c r="AG210">
        <f t="shared" si="140"/>
        <v>0</v>
      </c>
      <c r="AH210">
        <f t="shared" si="141"/>
        <v>0</v>
      </c>
      <c r="AW210">
        <f t="shared" si="142"/>
        <v>0</v>
      </c>
      <c r="AX210">
        <f t="shared" si="143"/>
        <v>0</v>
      </c>
      <c r="AY210">
        <f t="shared" si="146"/>
        <v>0</v>
      </c>
      <c r="AZ210">
        <f t="shared" si="144"/>
        <v>0</v>
      </c>
      <c r="BA210">
        <f t="shared" si="145"/>
        <v>0</v>
      </c>
      <c r="BJ210">
        <f t="shared" si="147"/>
        <v>0</v>
      </c>
      <c r="BK210">
        <f t="shared" si="148"/>
        <v>0</v>
      </c>
    </row>
    <row r="211" spans="1:63" x14ac:dyDescent="0.2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6"/>
        <v>0</v>
      </c>
      <c r="S211">
        <f t="shared" si="135"/>
        <v>0</v>
      </c>
      <c r="AD211">
        <f t="shared" si="137"/>
        <v>0</v>
      </c>
      <c r="AE211">
        <f t="shared" si="138"/>
        <v>0</v>
      </c>
      <c r="AF211">
        <f t="shared" si="139"/>
        <v>0</v>
      </c>
      <c r="AG211">
        <f t="shared" si="140"/>
        <v>0</v>
      </c>
      <c r="AH211">
        <f t="shared" si="141"/>
        <v>0</v>
      </c>
      <c r="AW211">
        <f t="shared" si="142"/>
        <v>0</v>
      </c>
      <c r="AX211">
        <f t="shared" si="143"/>
        <v>0</v>
      </c>
      <c r="AY211">
        <f t="shared" si="146"/>
        <v>0</v>
      </c>
      <c r="AZ211">
        <f t="shared" si="144"/>
        <v>0</v>
      </c>
      <c r="BA211">
        <f t="shared" si="145"/>
        <v>0</v>
      </c>
      <c r="BJ211">
        <f t="shared" si="147"/>
        <v>0</v>
      </c>
      <c r="BK211">
        <f t="shared" si="148"/>
        <v>0</v>
      </c>
    </row>
    <row r="212" spans="1:63" x14ac:dyDescent="0.2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6"/>
        <v>0</v>
      </c>
      <c r="S212">
        <f t="shared" si="135"/>
        <v>0</v>
      </c>
      <c r="AD212">
        <f t="shared" si="137"/>
        <v>0</v>
      </c>
      <c r="AE212">
        <f t="shared" si="138"/>
        <v>0</v>
      </c>
      <c r="AF212">
        <f t="shared" si="139"/>
        <v>0</v>
      </c>
      <c r="AG212">
        <f t="shared" si="140"/>
        <v>0</v>
      </c>
      <c r="AH212">
        <f t="shared" si="141"/>
        <v>0</v>
      </c>
      <c r="AW212">
        <f t="shared" si="142"/>
        <v>0</v>
      </c>
      <c r="AX212">
        <f t="shared" si="143"/>
        <v>0</v>
      </c>
      <c r="AY212">
        <f t="shared" si="146"/>
        <v>0</v>
      </c>
      <c r="AZ212">
        <f t="shared" si="144"/>
        <v>0</v>
      </c>
      <c r="BA212">
        <f t="shared" si="145"/>
        <v>0</v>
      </c>
      <c r="BJ212">
        <f t="shared" si="147"/>
        <v>0</v>
      </c>
      <c r="BK212">
        <f t="shared" si="148"/>
        <v>0</v>
      </c>
    </row>
    <row r="213" spans="1:63" x14ac:dyDescent="0.2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6"/>
        <v>0</v>
      </c>
      <c r="S213">
        <f t="shared" si="135"/>
        <v>0</v>
      </c>
      <c r="AD213">
        <f t="shared" si="137"/>
        <v>0</v>
      </c>
      <c r="AE213">
        <f t="shared" si="138"/>
        <v>0</v>
      </c>
      <c r="AF213">
        <f t="shared" si="139"/>
        <v>0</v>
      </c>
      <c r="AG213">
        <f t="shared" si="140"/>
        <v>0</v>
      </c>
      <c r="AH213">
        <f t="shared" si="141"/>
        <v>0</v>
      </c>
      <c r="AW213">
        <f t="shared" si="142"/>
        <v>0</v>
      </c>
      <c r="AX213">
        <f t="shared" si="143"/>
        <v>0</v>
      </c>
      <c r="AY213">
        <f t="shared" si="146"/>
        <v>0</v>
      </c>
      <c r="AZ213">
        <f t="shared" si="144"/>
        <v>0</v>
      </c>
      <c r="BA213">
        <f t="shared" si="145"/>
        <v>0</v>
      </c>
      <c r="BJ213">
        <f t="shared" si="147"/>
        <v>0</v>
      </c>
      <c r="BK213">
        <f t="shared" si="148"/>
        <v>0</v>
      </c>
    </row>
    <row r="214" spans="1:63" x14ac:dyDescent="0.2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6"/>
        <v>0</v>
      </c>
      <c r="S214">
        <f t="shared" si="135"/>
        <v>0</v>
      </c>
      <c r="AD214">
        <f t="shared" si="137"/>
        <v>0</v>
      </c>
      <c r="AE214">
        <f t="shared" si="138"/>
        <v>0</v>
      </c>
      <c r="AF214">
        <f t="shared" si="139"/>
        <v>0</v>
      </c>
      <c r="AG214">
        <f t="shared" si="140"/>
        <v>0</v>
      </c>
      <c r="AH214">
        <f t="shared" si="141"/>
        <v>0</v>
      </c>
      <c r="AW214">
        <f t="shared" si="142"/>
        <v>0</v>
      </c>
      <c r="AX214">
        <f t="shared" si="143"/>
        <v>0</v>
      </c>
      <c r="AY214">
        <f t="shared" si="146"/>
        <v>0</v>
      </c>
      <c r="AZ214">
        <f t="shared" si="144"/>
        <v>0</v>
      </c>
      <c r="BA214">
        <f t="shared" si="145"/>
        <v>0</v>
      </c>
      <c r="BJ214">
        <f t="shared" si="147"/>
        <v>0</v>
      </c>
      <c r="BK214">
        <f t="shared" si="148"/>
        <v>0</v>
      </c>
    </row>
    <row r="215" spans="1:63" x14ac:dyDescent="0.2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6"/>
        <v>0</v>
      </c>
      <c r="S215">
        <f t="shared" si="135"/>
        <v>0</v>
      </c>
      <c r="AD215">
        <f t="shared" si="137"/>
        <v>0</v>
      </c>
      <c r="AE215">
        <f t="shared" si="138"/>
        <v>0</v>
      </c>
      <c r="AF215">
        <f t="shared" si="139"/>
        <v>0</v>
      </c>
      <c r="AG215">
        <f t="shared" si="140"/>
        <v>0</v>
      </c>
      <c r="AH215">
        <f t="shared" si="141"/>
        <v>0</v>
      </c>
      <c r="AW215">
        <f t="shared" si="142"/>
        <v>0</v>
      </c>
      <c r="AX215">
        <f t="shared" si="143"/>
        <v>0</v>
      </c>
      <c r="AY215">
        <f t="shared" si="146"/>
        <v>0</v>
      </c>
      <c r="AZ215">
        <f t="shared" si="144"/>
        <v>0</v>
      </c>
      <c r="BA215">
        <f t="shared" si="145"/>
        <v>0</v>
      </c>
      <c r="BJ215">
        <f t="shared" si="147"/>
        <v>0</v>
      </c>
      <c r="BK215">
        <f t="shared" si="148"/>
        <v>0</v>
      </c>
    </row>
    <row r="216" spans="1:63" x14ac:dyDescent="0.2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6"/>
        <v>0</v>
      </c>
      <c r="S216">
        <f t="shared" si="135"/>
        <v>0</v>
      </c>
      <c r="AD216">
        <f t="shared" si="137"/>
        <v>0</v>
      </c>
      <c r="AE216">
        <f t="shared" si="138"/>
        <v>0</v>
      </c>
      <c r="AF216">
        <f t="shared" si="139"/>
        <v>0</v>
      </c>
      <c r="AG216">
        <f t="shared" si="140"/>
        <v>0</v>
      </c>
      <c r="AH216">
        <f t="shared" si="141"/>
        <v>0</v>
      </c>
      <c r="AW216">
        <f t="shared" si="142"/>
        <v>0</v>
      </c>
      <c r="AX216">
        <f t="shared" si="143"/>
        <v>0</v>
      </c>
      <c r="AY216">
        <f t="shared" si="146"/>
        <v>0</v>
      </c>
      <c r="AZ216">
        <f t="shared" si="144"/>
        <v>0</v>
      </c>
      <c r="BA216">
        <f t="shared" si="145"/>
        <v>0</v>
      </c>
      <c r="BJ216">
        <f t="shared" si="147"/>
        <v>0</v>
      </c>
      <c r="BK216">
        <f t="shared" si="148"/>
        <v>0</v>
      </c>
    </row>
    <row r="217" spans="1:63" x14ac:dyDescent="0.2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6"/>
        <v>0</v>
      </c>
      <c r="S217">
        <f t="shared" si="135"/>
        <v>0</v>
      </c>
      <c r="AD217">
        <f t="shared" si="137"/>
        <v>0</v>
      </c>
      <c r="AE217">
        <f t="shared" si="138"/>
        <v>0</v>
      </c>
      <c r="AF217">
        <f t="shared" si="139"/>
        <v>0</v>
      </c>
      <c r="AG217">
        <f t="shared" si="140"/>
        <v>0</v>
      </c>
      <c r="AH217">
        <f t="shared" si="141"/>
        <v>0</v>
      </c>
      <c r="AW217">
        <f t="shared" si="142"/>
        <v>0</v>
      </c>
      <c r="AX217">
        <f t="shared" si="143"/>
        <v>0</v>
      </c>
      <c r="AY217">
        <f t="shared" si="146"/>
        <v>0</v>
      </c>
      <c r="AZ217">
        <f t="shared" si="144"/>
        <v>0</v>
      </c>
      <c r="BA217">
        <f t="shared" si="145"/>
        <v>0</v>
      </c>
      <c r="BJ217">
        <f t="shared" si="147"/>
        <v>0</v>
      </c>
      <c r="BK217">
        <f t="shared" si="148"/>
        <v>0</v>
      </c>
    </row>
    <row r="218" spans="1:63" x14ac:dyDescent="0.2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6"/>
        <v>0</v>
      </c>
      <c r="S218">
        <f t="shared" si="135"/>
        <v>0</v>
      </c>
      <c r="AD218">
        <f t="shared" si="137"/>
        <v>0</v>
      </c>
      <c r="AE218">
        <f t="shared" si="138"/>
        <v>0</v>
      </c>
      <c r="AF218">
        <f t="shared" si="139"/>
        <v>0</v>
      </c>
      <c r="AG218">
        <f t="shared" si="140"/>
        <v>0</v>
      </c>
      <c r="AH218">
        <f t="shared" si="141"/>
        <v>0</v>
      </c>
      <c r="AW218">
        <f t="shared" si="142"/>
        <v>0</v>
      </c>
      <c r="AX218">
        <f t="shared" si="143"/>
        <v>0</v>
      </c>
      <c r="AY218">
        <f t="shared" si="146"/>
        <v>0</v>
      </c>
      <c r="AZ218">
        <f t="shared" si="144"/>
        <v>0</v>
      </c>
      <c r="BA218">
        <f t="shared" si="145"/>
        <v>0</v>
      </c>
      <c r="BJ218">
        <f t="shared" si="147"/>
        <v>0</v>
      </c>
      <c r="BK218">
        <f t="shared" si="148"/>
        <v>0</v>
      </c>
    </row>
    <row r="219" spans="1:63" x14ac:dyDescent="0.2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6"/>
        <v>0</v>
      </c>
      <c r="S219">
        <f t="shared" si="135"/>
        <v>0</v>
      </c>
      <c r="AD219">
        <f t="shared" si="137"/>
        <v>0</v>
      </c>
      <c r="AE219">
        <f t="shared" si="138"/>
        <v>0</v>
      </c>
      <c r="AF219">
        <f t="shared" si="139"/>
        <v>0</v>
      </c>
      <c r="AG219">
        <f t="shared" si="140"/>
        <v>0</v>
      </c>
      <c r="AH219">
        <f t="shared" si="141"/>
        <v>0</v>
      </c>
      <c r="AW219">
        <f t="shared" si="142"/>
        <v>0</v>
      </c>
      <c r="AX219">
        <f t="shared" si="143"/>
        <v>0</v>
      </c>
      <c r="AY219">
        <f t="shared" si="146"/>
        <v>0</v>
      </c>
      <c r="AZ219">
        <f t="shared" si="144"/>
        <v>0</v>
      </c>
      <c r="BA219">
        <f t="shared" si="145"/>
        <v>0</v>
      </c>
      <c r="BJ219">
        <f t="shared" si="147"/>
        <v>0</v>
      </c>
      <c r="BK219">
        <f t="shared" si="148"/>
        <v>0</v>
      </c>
    </row>
    <row r="220" spans="1:63" x14ac:dyDescent="0.2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6"/>
        <v>0</v>
      </c>
      <c r="S220">
        <f t="shared" si="135"/>
        <v>0</v>
      </c>
      <c r="AD220">
        <f t="shared" si="137"/>
        <v>0</v>
      </c>
      <c r="AE220">
        <f t="shared" si="138"/>
        <v>0</v>
      </c>
      <c r="AF220">
        <f t="shared" si="139"/>
        <v>0</v>
      </c>
      <c r="AG220">
        <f t="shared" si="140"/>
        <v>0</v>
      </c>
      <c r="AH220">
        <f t="shared" si="141"/>
        <v>0</v>
      </c>
      <c r="AW220">
        <f t="shared" si="142"/>
        <v>0</v>
      </c>
      <c r="AX220">
        <f t="shared" si="143"/>
        <v>0</v>
      </c>
      <c r="AY220">
        <f t="shared" si="146"/>
        <v>0</v>
      </c>
      <c r="AZ220">
        <f t="shared" si="144"/>
        <v>0</v>
      </c>
      <c r="BA220">
        <f t="shared" si="145"/>
        <v>0</v>
      </c>
      <c r="BJ220">
        <f t="shared" si="147"/>
        <v>0</v>
      </c>
      <c r="BK220">
        <f t="shared" si="148"/>
        <v>0</v>
      </c>
    </row>
    <row r="221" spans="1:63" x14ac:dyDescent="0.2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6"/>
        <v>0</v>
      </c>
      <c r="S221">
        <f t="shared" si="135"/>
        <v>0</v>
      </c>
      <c r="AD221">
        <f t="shared" si="137"/>
        <v>0</v>
      </c>
      <c r="AE221">
        <f t="shared" si="138"/>
        <v>0</v>
      </c>
      <c r="AF221">
        <f t="shared" si="139"/>
        <v>0</v>
      </c>
      <c r="AG221">
        <f t="shared" si="140"/>
        <v>0</v>
      </c>
      <c r="AH221">
        <f t="shared" si="141"/>
        <v>0</v>
      </c>
      <c r="AW221">
        <f t="shared" si="142"/>
        <v>0</v>
      </c>
      <c r="AX221">
        <f t="shared" si="143"/>
        <v>0</v>
      </c>
      <c r="AY221">
        <f t="shared" si="146"/>
        <v>0</v>
      </c>
      <c r="AZ221">
        <f t="shared" si="144"/>
        <v>0</v>
      </c>
      <c r="BA221">
        <f t="shared" si="145"/>
        <v>0</v>
      </c>
      <c r="BJ221">
        <f t="shared" si="147"/>
        <v>0</v>
      </c>
      <c r="BK221">
        <f t="shared" si="148"/>
        <v>0</v>
      </c>
    </row>
    <row r="222" spans="1:63" x14ac:dyDescent="0.2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6"/>
        <v>0</v>
      </c>
      <c r="S222">
        <f t="shared" si="135"/>
        <v>0</v>
      </c>
      <c r="AD222">
        <f t="shared" si="137"/>
        <v>0</v>
      </c>
      <c r="AE222">
        <f t="shared" si="138"/>
        <v>0</v>
      </c>
      <c r="AF222">
        <f t="shared" si="139"/>
        <v>0</v>
      </c>
      <c r="AG222">
        <f t="shared" si="140"/>
        <v>0</v>
      </c>
      <c r="AH222">
        <f t="shared" si="141"/>
        <v>0</v>
      </c>
      <c r="AW222">
        <f t="shared" si="142"/>
        <v>0</v>
      </c>
      <c r="AX222">
        <f t="shared" si="143"/>
        <v>0</v>
      </c>
      <c r="AY222">
        <f t="shared" si="146"/>
        <v>0</v>
      </c>
      <c r="AZ222">
        <f t="shared" si="144"/>
        <v>0</v>
      </c>
      <c r="BA222">
        <f t="shared" si="145"/>
        <v>0</v>
      </c>
      <c r="BJ222">
        <f t="shared" si="147"/>
        <v>0</v>
      </c>
      <c r="BK222">
        <f t="shared" si="148"/>
        <v>0</v>
      </c>
    </row>
    <row r="223" spans="1:63" x14ac:dyDescent="0.2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6"/>
        <v>0</v>
      </c>
      <c r="S223">
        <f t="shared" si="135"/>
        <v>0</v>
      </c>
      <c r="AD223">
        <f t="shared" si="137"/>
        <v>0</v>
      </c>
      <c r="AE223">
        <f t="shared" si="138"/>
        <v>0</v>
      </c>
      <c r="AF223">
        <f t="shared" si="139"/>
        <v>0</v>
      </c>
      <c r="AG223">
        <f t="shared" si="140"/>
        <v>0</v>
      </c>
      <c r="AH223">
        <f t="shared" si="141"/>
        <v>0</v>
      </c>
      <c r="AW223">
        <f t="shared" si="142"/>
        <v>0</v>
      </c>
      <c r="AX223">
        <f t="shared" si="143"/>
        <v>0</v>
      </c>
      <c r="AY223">
        <f t="shared" si="146"/>
        <v>0</v>
      </c>
      <c r="AZ223">
        <f t="shared" si="144"/>
        <v>0</v>
      </c>
      <c r="BA223">
        <f t="shared" si="145"/>
        <v>0</v>
      </c>
      <c r="BJ223">
        <f t="shared" si="147"/>
        <v>0</v>
      </c>
      <c r="BK223">
        <f t="shared" si="148"/>
        <v>0</v>
      </c>
    </row>
    <row r="224" spans="1:63" x14ac:dyDescent="0.2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6"/>
        <v>0</v>
      </c>
      <c r="S224">
        <f t="shared" si="135"/>
        <v>0</v>
      </c>
      <c r="AD224">
        <f t="shared" si="137"/>
        <v>0</v>
      </c>
      <c r="AE224">
        <f t="shared" si="138"/>
        <v>0</v>
      </c>
      <c r="AF224">
        <f t="shared" si="139"/>
        <v>0</v>
      </c>
      <c r="AG224">
        <f t="shared" si="140"/>
        <v>0</v>
      </c>
      <c r="AH224">
        <f t="shared" si="141"/>
        <v>0</v>
      </c>
      <c r="AW224">
        <f t="shared" si="142"/>
        <v>0</v>
      </c>
      <c r="AX224">
        <f t="shared" si="143"/>
        <v>0</v>
      </c>
      <c r="AY224">
        <f t="shared" si="146"/>
        <v>0</v>
      </c>
      <c r="AZ224">
        <f t="shared" si="144"/>
        <v>0</v>
      </c>
      <c r="BA224">
        <f t="shared" si="145"/>
        <v>0</v>
      </c>
      <c r="BJ224">
        <f t="shared" si="147"/>
        <v>0</v>
      </c>
      <c r="BK224">
        <f t="shared" si="148"/>
        <v>0</v>
      </c>
    </row>
    <row r="225" spans="1:63" x14ac:dyDescent="0.2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6"/>
        <v>0</v>
      </c>
      <c r="S225">
        <f t="shared" si="135"/>
        <v>0</v>
      </c>
      <c r="AD225">
        <f t="shared" si="137"/>
        <v>0</v>
      </c>
      <c r="AE225">
        <f t="shared" si="138"/>
        <v>0</v>
      </c>
      <c r="AF225">
        <f t="shared" si="139"/>
        <v>0</v>
      </c>
      <c r="AG225">
        <f t="shared" si="140"/>
        <v>0</v>
      </c>
      <c r="AH225">
        <f t="shared" si="141"/>
        <v>0</v>
      </c>
      <c r="AW225">
        <f t="shared" si="142"/>
        <v>0</v>
      </c>
      <c r="AX225">
        <f t="shared" si="143"/>
        <v>0</v>
      </c>
      <c r="AY225">
        <f t="shared" si="146"/>
        <v>0</v>
      </c>
      <c r="AZ225">
        <f t="shared" si="144"/>
        <v>0</v>
      </c>
      <c r="BA225">
        <f t="shared" si="145"/>
        <v>0</v>
      </c>
      <c r="BJ225">
        <f t="shared" si="147"/>
        <v>0</v>
      </c>
      <c r="BK225">
        <f t="shared" si="148"/>
        <v>0</v>
      </c>
    </row>
    <row r="226" spans="1:63" x14ac:dyDescent="0.2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6"/>
        <v>0</v>
      </c>
      <c r="S226">
        <f t="shared" si="135"/>
        <v>0</v>
      </c>
      <c r="AD226">
        <f t="shared" si="137"/>
        <v>0</v>
      </c>
      <c r="AE226">
        <f t="shared" si="138"/>
        <v>0</v>
      </c>
      <c r="AF226">
        <f t="shared" si="139"/>
        <v>0</v>
      </c>
      <c r="AG226">
        <f t="shared" si="140"/>
        <v>0</v>
      </c>
      <c r="AH226">
        <f t="shared" si="141"/>
        <v>0</v>
      </c>
      <c r="AW226">
        <f t="shared" si="142"/>
        <v>0</v>
      </c>
      <c r="AX226">
        <f t="shared" si="143"/>
        <v>0</v>
      </c>
      <c r="AY226">
        <f t="shared" si="146"/>
        <v>0</v>
      </c>
      <c r="AZ226">
        <f t="shared" si="144"/>
        <v>0</v>
      </c>
      <c r="BA226">
        <f t="shared" si="145"/>
        <v>0</v>
      </c>
      <c r="BJ226">
        <f t="shared" si="147"/>
        <v>0</v>
      </c>
      <c r="BK226">
        <f t="shared" si="148"/>
        <v>0</v>
      </c>
    </row>
    <row r="227" spans="1:63" x14ac:dyDescent="0.2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6"/>
        <v>0</v>
      </c>
      <c r="S227">
        <f t="shared" si="135"/>
        <v>0</v>
      </c>
      <c r="AD227">
        <f t="shared" si="137"/>
        <v>0</v>
      </c>
      <c r="AE227">
        <f t="shared" si="138"/>
        <v>0</v>
      </c>
      <c r="AF227">
        <f t="shared" si="139"/>
        <v>0</v>
      </c>
      <c r="AG227">
        <f t="shared" si="140"/>
        <v>0</v>
      </c>
      <c r="AH227">
        <f t="shared" si="141"/>
        <v>0</v>
      </c>
      <c r="AW227">
        <f t="shared" si="142"/>
        <v>0</v>
      </c>
      <c r="AX227">
        <f t="shared" si="143"/>
        <v>0</v>
      </c>
      <c r="AY227">
        <f t="shared" si="146"/>
        <v>0</v>
      </c>
      <c r="AZ227">
        <f t="shared" si="144"/>
        <v>0</v>
      </c>
      <c r="BA227">
        <f t="shared" si="145"/>
        <v>0</v>
      </c>
      <c r="BJ227">
        <f t="shared" si="147"/>
        <v>0</v>
      </c>
      <c r="BK227">
        <f t="shared" si="148"/>
        <v>0</v>
      </c>
    </row>
    <row r="228" spans="1:63" x14ac:dyDescent="0.2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6"/>
        <v>0</v>
      </c>
      <c r="S228">
        <f t="shared" si="135"/>
        <v>0</v>
      </c>
      <c r="AD228">
        <f t="shared" si="137"/>
        <v>0</v>
      </c>
      <c r="AE228">
        <f t="shared" si="138"/>
        <v>0</v>
      </c>
      <c r="AF228">
        <f t="shared" si="139"/>
        <v>0</v>
      </c>
      <c r="AG228">
        <f t="shared" si="140"/>
        <v>0</v>
      </c>
      <c r="AH228">
        <f t="shared" si="141"/>
        <v>0</v>
      </c>
      <c r="AW228">
        <f t="shared" si="142"/>
        <v>0</v>
      </c>
      <c r="AX228">
        <f t="shared" si="143"/>
        <v>0</v>
      </c>
      <c r="AY228">
        <f t="shared" si="146"/>
        <v>0</v>
      </c>
      <c r="AZ228">
        <f t="shared" si="144"/>
        <v>0</v>
      </c>
      <c r="BA228">
        <f t="shared" si="145"/>
        <v>0</v>
      </c>
      <c r="BJ228">
        <f t="shared" si="147"/>
        <v>0</v>
      </c>
      <c r="BK228">
        <f t="shared" si="148"/>
        <v>0</v>
      </c>
    </row>
    <row r="229" spans="1:63" x14ac:dyDescent="0.2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6"/>
        <v>0</v>
      </c>
      <c r="S229">
        <f t="shared" si="135"/>
        <v>0</v>
      </c>
      <c r="AD229">
        <f t="shared" si="137"/>
        <v>0</v>
      </c>
      <c r="AE229">
        <f t="shared" si="138"/>
        <v>0</v>
      </c>
      <c r="AF229">
        <f t="shared" si="139"/>
        <v>0</v>
      </c>
      <c r="AG229">
        <f t="shared" si="140"/>
        <v>0</v>
      </c>
      <c r="AH229">
        <f t="shared" si="141"/>
        <v>0</v>
      </c>
      <c r="AW229">
        <f t="shared" si="142"/>
        <v>0</v>
      </c>
      <c r="AX229">
        <f t="shared" si="143"/>
        <v>0</v>
      </c>
      <c r="AY229">
        <f t="shared" si="146"/>
        <v>0</v>
      </c>
      <c r="AZ229">
        <f t="shared" si="144"/>
        <v>0</v>
      </c>
      <c r="BA229">
        <f t="shared" si="145"/>
        <v>0</v>
      </c>
      <c r="BJ229">
        <f t="shared" si="147"/>
        <v>0</v>
      </c>
      <c r="BK229">
        <f t="shared" si="148"/>
        <v>0</v>
      </c>
    </row>
    <row r="230" spans="1:63" x14ac:dyDescent="0.2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6"/>
        <v>0</v>
      </c>
      <c r="S230">
        <f t="shared" si="135"/>
        <v>0</v>
      </c>
      <c r="AD230">
        <f t="shared" si="137"/>
        <v>0</v>
      </c>
      <c r="AE230">
        <f t="shared" si="138"/>
        <v>0</v>
      </c>
      <c r="AF230">
        <f t="shared" si="139"/>
        <v>0</v>
      </c>
      <c r="AG230">
        <f t="shared" si="140"/>
        <v>0</v>
      </c>
      <c r="AH230">
        <f t="shared" si="141"/>
        <v>0</v>
      </c>
      <c r="AW230">
        <f t="shared" si="142"/>
        <v>0</v>
      </c>
      <c r="AX230">
        <f t="shared" si="143"/>
        <v>0</v>
      </c>
      <c r="AY230">
        <f t="shared" si="146"/>
        <v>0</v>
      </c>
      <c r="AZ230">
        <f t="shared" si="144"/>
        <v>0</v>
      </c>
      <c r="BA230">
        <f t="shared" si="145"/>
        <v>0</v>
      </c>
      <c r="BJ230">
        <f t="shared" si="147"/>
        <v>0</v>
      </c>
      <c r="BK230">
        <f t="shared" si="148"/>
        <v>0</v>
      </c>
    </row>
    <row r="231" spans="1:63" x14ac:dyDescent="0.2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6"/>
        <v>0</v>
      </c>
      <c r="S231">
        <f t="shared" si="135"/>
        <v>0</v>
      </c>
      <c r="AD231">
        <f t="shared" si="137"/>
        <v>0</v>
      </c>
      <c r="AE231">
        <f t="shared" si="138"/>
        <v>0</v>
      </c>
      <c r="AF231">
        <f t="shared" si="139"/>
        <v>0</v>
      </c>
      <c r="AG231">
        <f t="shared" si="140"/>
        <v>0</v>
      </c>
      <c r="AH231">
        <f t="shared" si="141"/>
        <v>0</v>
      </c>
      <c r="AW231">
        <f t="shared" si="142"/>
        <v>0</v>
      </c>
      <c r="AX231">
        <f t="shared" si="143"/>
        <v>0</v>
      </c>
      <c r="AY231">
        <f t="shared" si="146"/>
        <v>0</v>
      </c>
      <c r="AZ231">
        <f t="shared" si="144"/>
        <v>0</v>
      </c>
      <c r="BA231">
        <f t="shared" si="145"/>
        <v>0</v>
      </c>
      <c r="BJ231">
        <f t="shared" si="147"/>
        <v>0</v>
      </c>
      <c r="BK231">
        <f t="shared" si="148"/>
        <v>0</v>
      </c>
    </row>
    <row r="232" spans="1:63" x14ac:dyDescent="0.2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6"/>
        <v>0</v>
      </c>
      <c r="S232">
        <f t="shared" si="135"/>
        <v>0</v>
      </c>
      <c r="AD232">
        <f t="shared" si="137"/>
        <v>0</v>
      </c>
      <c r="AE232">
        <f t="shared" si="138"/>
        <v>0</v>
      </c>
      <c r="AF232">
        <f t="shared" si="139"/>
        <v>0</v>
      </c>
      <c r="AG232">
        <f t="shared" si="140"/>
        <v>0</v>
      </c>
      <c r="AH232">
        <f t="shared" si="141"/>
        <v>0</v>
      </c>
      <c r="AW232">
        <f t="shared" si="142"/>
        <v>0</v>
      </c>
      <c r="AX232">
        <f t="shared" si="143"/>
        <v>0</v>
      </c>
      <c r="AY232">
        <f t="shared" si="146"/>
        <v>0</v>
      </c>
      <c r="AZ232">
        <f t="shared" si="144"/>
        <v>0</v>
      </c>
      <c r="BA232">
        <f t="shared" si="145"/>
        <v>0</v>
      </c>
      <c r="BJ232">
        <f t="shared" si="147"/>
        <v>0</v>
      </c>
      <c r="BK232">
        <f t="shared" si="148"/>
        <v>0</v>
      </c>
    </row>
    <row r="233" spans="1:63" x14ac:dyDescent="0.2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6"/>
        <v>0</v>
      </c>
      <c r="S233">
        <f t="shared" si="135"/>
        <v>0</v>
      </c>
      <c r="AD233">
        <f t="shared" si="137"/>
        <v>0</v>
      </c>
      <c r="AE233">
        <f t="shared" si="138"/>
        <v>0</v>
      </c>
      <c r="AF233">
        <f t="shared" si="139"/>
        <v>0</v>
      </c>
      <c r="AG233">
        <f t="shared" si="140"/>
        <v>0</v>
      </c>
      <c r="AH233">
        <f t="shared" si="141"/>
        <v>0</v>
      </c>
      <c r="AW233">
        <f t="shared" si="142"/>
        <v>0</v>
      </c>
      <c r="AX233">
        <f t="shared" si="143"/>
        <v>0</v>
      </c>
      <c r="AY233">
        <f t="shared" si="146"/>
        <v>0</v>
      </c>
      <c r="AZ233">
        <f t="shared" si="144"/>
        <v>0</v>
      </c>
      <c r="BA233">
        <f t="shared" si="145"/>
        <v>0</v>
      </c>
      <c r="BJ233">
        <f t="shared" si="147"/>
        <v>0</v>
      </c>
      <c r="BK233">
        <f t="shared" si="148"/>
        <v>0</v>
      </c>
    </row>
    <row r="234" spans="1:63" x14ac:dyDescent="0.2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6"/>
        <v>0</v>
      </c>
      <c r="S234">
        <f t="shared" si="135"/>
        <v>0</v>
      </c>
      <c r="AD234">
        <f t="shared" si="137"/>
        <v>0</v>
      </c>
      <c r="AE234">
        <f t="shared" si="138"/>
        <v>0</v>
      </c>
      <c r="AF234">
        <f t="shared" si="139"/>
        <v>0</v>
      </c>
      <c r="AG234">
        <f t="shared" si="140"/>
        <v>0</v>
      </c>
      <c r="AH234">
        <f t="shared" si="141"/>
        <v>0</v>
      </c>
      <c r="AW234">
        <f t="shared" si="142"/>
        <v>0</v>
      </c>
      <c r="AX234">
        <f t="shared" si="143"/>
        <v>0</v>
      </c>
      <c r="AY234">
        <f t="shared" si="146"/>
        <v>0</v>
      </c>
      <c r="AZ234">
        <f t="shared" si="144"/>
        <v>0</v>
      </c>
      <c r="BA234">
        <f t="shared" si="145"/>
        <v>0</v>
      </c>
      <c r="BJ234">
        <f t="shared" si="147"/>
        <v>0</v>
      </c>
      <c r="BK234">
        <f t="shared" si="148"/>
        <v>0</v>
      </c>
    </row>
    <row r="235" spans="1:63" x14ac:dyDescent="0.2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6"/>
        <v>0</v>
      </c>
      <c r="S235">
        <f t="shared" si="135"/>
        <v>0</v>
      </c>
      <c r="AD235">
        <f t="shared" si="137"/>
        <v>0</v>
      </c>
      <c r="AE235">
        <f t="shared" si="138"/>
        <v>0</v>
      </c>
      <c r="AF235">
        <f t="shared" si="139"/>
        <v>0</v>
      </c>
      <c r="AG235">
        <f t="shared" si="140"/>
        <v>0</v>
      </c>
      <c r="AH235">
        <f t="shared" si="141"/>
        <v>0</v>
      </c>
      <c r="AW235">
        <f t="shared" si="142"/>
        <v>0</v>
      </c>
      <c r="AX235">
        <f t="shared" si="143"/>
        <v>0</v>
      </c>
      <c r="AY235">
        <f t="shared" si="146"/>
        <v>0</v>
      </c>
      <c r="AZ235">
        <f t="shared" si="144"/>
        <v>0</v>
      </c>
      <c r="BA235">
        <f t="shared" si="145"/>
        <v>0</v>
      </c>
      <c r="BJ235">
        <f t="shared" si="147"/>
        <v>0</v>
      </c>
      <c r="BK235">
        <f t="shared" si="148"/>
        <v>0</v>
      </c>
    </row>
    <row r="236" spans="1:63" x14ac:dyDescent="0.2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6"/>
        <v>0</v>
      </c>
      <c r="S236">
        <f t="shared" si="135"/>
        <v>0</v>
      </c>
      <c r="AD236">
        <f t="shared" si="137"/>
        <v>0</v>
      </c>
      <c r="AE236">
        <f t="shared" si="138"/>
        <v>0</v>
      </c>
      <c r="AF236">
        <f t="shared" si="139"/>
        <v>0</v>
      </c>
      <c r="AG236">
        <f t="shared" si="140"/>
        <v>0</v>
      </c>
      <c r="AH236">
        <f t="shared" si="141"/>
        <v>0</v>
      </c>
      <c r="AW236">
        <f t="shared" si="142"/>
        <v>0</v>
      </c>
      <c r="AX236">
        <f t="shared" si="143"/>
        <v>0</v>
      </c>
      <c r="AY236">
        <f t="shared" si="146"/>
        <v>0</v>
      </c>
      <c r="AZ236">
        <f t="shared" si="144"/>
        <v>0</v>
      </c>
      <c r="BA236">
        <f t="shared" si="145"/>
        <v>0</v>
      </c>
      <c r="BJ236">
        <f t="shared" si="147"/>
        <v>0</v>
      </c>
      <c r="BK236">
        <f t="shared" si="148"/>
        <v>0</v>
      </c>
    </row>
    <row r="237" spans="1:63" x14ac:dyDescent="0.2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6"/>
        <v>0</v>
      </c>
      <c r="S237">
        <f t="shared" si="135"/>
        <v>0</v>
      </c>
      <c r="AD237">
        <f t="shared" si="137"/>
        <v>0</v>
      </c>
      <c r="AE237">
        <f t="shared" si="138"/>
        <v>0</v>
      </c>
      <c r="AF237">
        <f t="shared" si="139"/>
        <v>0</v>
      </c>
      <c r="AG237">
        <f t="shared" si="140"/>
        <v>0</v>
      </c>
      <c r="AH237">
        <f t="shared" si="141"/>
        <v>0</v>
      </c>
      <c r="AW237">
        <f t="shared" si="142"/>
        <v>0</v>
      </c>
      <c r="AX237">
        <f t="shared" si="143"/>
        <v>0</v>
      </c>
      <c r="AY237">
        <f t="shared" si="146"/>
        <v>0</v>
      </c>
      <c r="AZ237">
        <f t="shared" si="144"/>
        <v>0</v>
      </c>
      <c r="BA237">
        <f t="shared" si="145"/>
        <v>0</v>
      </c>
      <c r="BJ237">
        <f t="shared" si="147"/>
        <v>0</v>
      </c>
      <c r="BK237">
        <f t="shared" si="148"/>
        <v>0</v>
      </c>
    </row>
    <row r="238" spans="1:63" x14ac:dyDescent="0.2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6"/>
        <v>0</v>
      </c>
      <c r="S238">
        <f t="shared" si="135"/>
        <v>0</v>
      </c>
      <c r="AD238">
        <f t="shared" si="137"/>
        <v>0</v>
      </c>
      <c r="AE238">
        <f t="shared" si="138"/>
        <v>0</v>
      </c>
      <c r="AF238">
        <f t="shared" si="139"/>
        <v>0</v>
      </c>
      <c r="AG238">
        <f t="shared" si="140"/>
        <v>0</v>
      </c>
      <c r="AH238">
        <f t="shared" si="141"/>
        <v>0</v>
      </c>
      <c r="AW238">
        <f t="shared" si="142"/>
        <v>0</v>
      </c>
      <c r="AX238">
        <f t="shared" si="143"/>
        <v>0</v>
      </c>
      <c r="AY238">
        <f t="shared" si="146"/>
        <v>0</v>
      </c>
      <c r="AZ238">
        <f t="shared" si="144"/>
        <v>0</v>
      </c>
      <c r="BA238">
        <f t="shared" si="145"/>
        <v>0</v>
      </c>
      <c r="BJ238">
        <f t="shared" si="147"/>
        <v>0</v>
      </c>
      <c r="BK238">
        <f t="shared" si="148"/>
        <v>0</v>
      </c>
    </row>
    <row r="239" spans="1:63" x14ac:dyDescent="0.2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6"/>
        <v>0</v>
      </c>
      <c r="S239">
        <f t="shared" si="135"/>
        <v>0</v>
      </c>
      <c r="AD239">
        <f t="shared" si="137"/>
        <v>0</v>
      </c>
      <c r="AE239">
        <f t="shared" si="138"/>
        <v>0</v>
      </c>
      <c r="AF239">
        <f t="shared" si="139"/>
        <v>0</v>
      </c>
      <c r="AG239">
        <f t="shared" si="140"/>
        <v>0</v>
      </c>
      <c r="AH239">
        <f t="shared" si="141"/>
        <v>0</v>
      </c>
      <c r="AW239">
        <f t="shared" si="142"/>
        <v>0</v>
      </c>
      <c r="AX239">
        <f t="shared" si="143"/>
        <v>0</v>
      </c>
      <c r="AY239">
        <f t="shared" si="146"/>
        <v>0</v>
      </c>
      <c r="AZ239">
        <f t="shared" si="144"/>
        <v>0</v>
      </c>
      <c r="BA239">
        <f t="shared" si="145"/>
        <v>0</v>
      </c>
      <c r="BJ239">
        <f t="shared" si="147"/>
        <v>0</v>
      </c>
      <c r="BK239">
        <f t="shared" si="148"/>
        <v>0</v>
      </c>
    </row>
    <row r="240" spans="1:63" x14ac:dyDescent="0.2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6"/>
        <v>0</v>
      </c>
      <c r="S240">
        <f t="shared" si="135"/>
        <v>0</v>
      </c>
      <c r="AD240">
        <f t="shared" si="137"/>
        <v>0</v>
      </c>
      <c r="AE240">
        <f t="shared" si="138"/>
        <v>0</v>
      </c>
      <c r="AF240">
        <f t="shared" si="139"/>
        <v>0</v>
      </c>
      <c r="AG240">
        <f t="shared" si="140"/>
        <v>0</v>
      </c>
      <c r="AH240">
        <f t="shared" si="141"/>
        <v>0</v>
      </c>
      <c r="AW240">
        <f t="shared" si="142"/>
        <v>0</v>
      </c>
      <c r="AX240">
        <f t="shared" si="143"/>
        <v>0</v>
      </c>
      <c r="AY240">
        <f t="shared" si="146"/>
        <v>0</v>
      </c>
      <c r="AZ240">
        <f t="shared" si="144"/>
        <v>0</v>
      </c>
      <c r="BA240">
        <f t="shared" si="145"/>
        <v>0</v>
      </c>
      <c r="BJ240">
        <f t="shared" si="147"/>
        <v>0</v>
      </c>
      <c r="BK240">
        <f t="shared" si="148"/>
        <v>0</v>
      </c>
    </row>
    <row r="241" spans="1:63" x14ac:dyDescent="0.2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6"/>
        <v>0</v>
      </c>
      <c r="S241">
        <f t="shared" si="135"/>
        <v>0</v>
      </c>
      <c r="AD241">
        <f t="shared" si="137"/>
        <v>0</v>
      </c>
      <c r="AE241">
        <f t="shared" si="138"/>
        <v>0</v>
      </c>
      <c r="AF241">
        <f t="shared" si="139"/>
        <v>0</v>
      </c>
      <c r="AG241">
        <f t="shared" si="140"/>
        <v>0</v>
      </c>
      <c r="AH241">
        <f t="shared" si="141"/>
        <v>0</v>
      </c>
      <c r="AW241">
        <f t="shared" si="142"/>
        <v>0</v>
      </c>
      <c r="AX241">
        <f t="shared" si="143"/>
        <v>0</v>
      </c>
      <c r="AY241">
        <f t="shared" si="146"/>
        <v>0</v>
      </c>
      <c r="AZ241">
        <f t="shared" si="144"/>
        <v>0</v>
      </c>
      <c r="BA241">
        <f t="shared" si="145"/>
        <v>0</v>
      </c>
      <c r="BJ241">
        <f t="shared" si="147"/>
        <v>0</v>
      </c>
      <c r="BK241">
        <f t="shared" si="148"/>
        <v>0</v>
      </c>
    </row>
    <row r="242" spans="1:63" x14ac:dyDescent="0.2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6"/>
        <v>0</v>
      </c>
      <c r="S242">
        <f t="shared" si="135"/>
        <v>0</v>
      </c>
      <c r="AD242">
        <f t="shared" si="137"/>
        <v>0</v>
      </c>
      <c r="AE242">
        <f t="shared" si="138"/>
        <v>0</v>
      </c>
      <c r="AF242">
        <f t="shared" si="139"/>
        <v>0</v>
      </c>
      <c r="AG242">
        <f t="shared" si="140"/>
        <v>0</v>
      </c>
      <c r="AH242">
        <f t="shared" si="141"/>
        <v>0</v>
      </c>
      <c r="AW242">
        <f t="shared" si="142"/>
        <v>0</v>
      </c>
      <c r="AX242">
        <f t="shared" si="143"/>
        <v>0</v>
      </c>
      <c r="AY242">
        <f t="shared" si="146"/>
        <v>0</v>
      </c>
      <c r="AZ242">
        <f t="shared" si="144"/>
        <v>0</v>
      </c>
      <c r="BA242">
        <f t="shared" si="145"/>
        <v>0</v>
      </c>
      <c r="BJ242">
        <f t="shared" si="147"/>
        <v>0</v>
      </c>
      <c r="BK242">
        <f t="shared" si="148"/>
        <v>0</v>
      </c>
    </row>
    <row r="243" spans="1:63" x14ac:dyDescent="0.2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6"/>
        <v>0</v>
      </c>
      <c r="S243">
        <f t="shared" si="135"/>
        <v>0</v>
      </c>
      <c r="AD243">
        <f t="shared" si="137"/>
        <v>0</v>
      </c>
      <c r="AE243">
        <f t="shared" si="138"/>
        <v>0</v>
      </c>
      <c r="AF243">
        <f t="shared" si="139"/>
        <v>0</v>
      </c>
      <c r="AG243">
        <f t="shared" si="140"/>
        <v>0</v>
      </c>
      <c r="AH243">
        <f t="shared" si="141"/>
        <v>0</v>
      </c>
      <c r="AW243">
        <f t="shared" si="142"/>
        <v>0</v>
      </c>
      <c r="AX243">
        <f t="shared" si="143"/>
        <v>0</v>
      </c>
      <c r="AY243">
        <f t="shared" si="146"/>
        <v>0</v>
      </c>
      <c r="AZ243">
        <f t="shared" si="144"/>
        <v>0</v>
      </c>
      <c r="BA243">
        <f t="shared" si="145"/>
        <v>0</v>
      </c>
      <c r="BJ243">
        <f t="shared" si="147"/>
        <v>0</v>
      </c>
      <c r="BK243">
        <f t="shared" si="148"/>
        <v>0</v>
      </c>
    </row>
    <row r="244" spans="1:63" x14ac:dyDescent="0.2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6"/>
        <v>0</v>
      </c>
      <c r="S244">
        <f t="shared" si="135"/>
        <v>0</v>
      </c>
      <c r="AD244">
        <f t="shared" si="137"/>
        <v>0</v>
      </c>
      <c r="AE244">
        <f t="shared" si="138"/>
        <v>0</v>
      </c>
      <c r="AF244">
        <f t="shared" si="139"/>
        <v>0</v>
      </c>
      <c r="AG244">
        <f t="shared" si="140"/>
        <v>0</v>
      </c>
      <c r="AH244">
        <f t="shared" si="141"/>
        <v>0</v>
      </c>
      <c r="AW244">
        <f t="shared" si="142"/>
        <v>0</v>
      </c>
      <c r="AX244">
        <f t="shared" si="143"/>
        <v>0</v>
      </c>
      <c r="AY244">
        <f t="shared" si="146"/>
        <v>0</v>
      </c>
      <c r="AZ244">
        <f t="shared" si="144"/>
        <v>0</v>
      </c>
      <c r="BA244">
        <f t="shared" si="145"/>
        <v>0</v>
      </c>
      <c r="BJ244">
        <f t="shared" si="147"/>
        <v>0</v>
      </c>
      <c r="BK244">
        <f t="shared" si="148"/>
        <v>0</v>
      </c>
    </row>
    <row r="245" spans="1:63" x14ac:dyDescent="0.2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6"/>
        <v>0</v>
      </c>
      <c r="S245">
        <f t="shared" si="135"/>
        <v>0</v>
      </c>
      <c r="AD245">
        <f t="shared" si="137"/>
        <v>0</v>
      </c>
      <c r="AE245">
        <f t="shared" si="138"/>
        <v>0</v>
      </c>
      <c r="AF245">
        <f t="shared" si="139"/>
        <v>0</v>
      </c>
      <c r="AG245">
        <f t="shared" si="140"/>
        <v>0</v>
      </c>
      <c r="AH245">
        <f t="shared" si="141"/>
        <v>0</v>
      </c>
      <c r="AW245">
        <f t="shared" si="142"/>
        <v>0</v>
      </c>
      <c r="AX245">
        <f t="shared" si="143"/>
        <v>0</v>
      </c>
      <c r="AY245">
        <f t="shared" si="146"/>
        <v>0</v>
      </c>
      <c r="AZ245">
        <f t="shared" si="144"/>
        <v>0</v>
      </c>
      <c r="BA245">
        <f t="shared" si="145"/>
        <v>0</v>
      </c>
      <c r="BJ245">
        <f t="shared" si="147"/>
        <v>0</v>
      </c>
      <c r="BK245">
        <f t="shared" si="148"/>
        <v>0</v>
      </c>
    </row>
    <row r="246" spans="1:63" x14ac:dyDescent="0.2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6"/>
        <v>0</v>
      </c>
      <c r="S246">
        <f t="shared" si="135"/>
        <v>0</v>
      </c>
      <c r="AD246">
        <f t="shared" si="137"/>
        <v>0</v>
      </c>
      <c r="AE246">
        <f t="shared" si="138"/>
        <v>0</v>
      </c>
      <c r="AF246">
        <f t="shared" si="139"/>
        <v>0</v>
      </c>
      <c r="AG246">
        <f t="shared" si="140"/>
        <v>0</v>
      </c>
      <c r="AH246">
        <f t="shared" si="141"/>
        <v>0</v>
      </c>
      <c r="AW246">
        <f t="shared" si="142"/>
        <v>0</v>
      </c>
      <c r="AX246">
        <f t="shared" si="143"/>
        <v>0</v>
      </c>
      <c r="AY246">
        <f t="shared" si="146"/>
        <v>0</v>
      </c>
      <c r="AZ246">
        <f t="shared" si="144"/>
        <v>0</v>
      </c>
      <c r="BA246">
        <f t="shared" si="145"/>
        <v>0</v>
      </c>
      <c r="BJ246">
        <f t="shared" si="147"/>
        <v>0</v>
      </c>
      <c r="BK246">
        <f t="shared" si="148"/>
        <v>0</v>
      </c>
    </row>
    <row r="247" spans="1:63" x14ac:dyDescent="0.2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6"/>
        <v>0</v>
      </c>
      <c r="S247">
        <f t="shared" si="135"/>
        <v>0</v>
      </c>
      <c r="AD247">
        <f t="shared" si="137"/>
        <v>0</v>
      </c>
      <c r="AE247">
        <f t="shared" si="138"/>
        <v>0</v>
      </c>
      <c r="AF247">
        <f t="shared" si="139"/>
        <v>0</v>
      </c>
      <c r="AG247">
        <f t="shared" si="140"/>
        <v>0</v>
      </c>
      <c r="AH247">
        <f t="shared" si="141"/>
        <v>0</v>
      </c>
      <c r="AW247">
        <f t="shared" si="142"/>
        <v>0</v>
      </c>
      <c r="AX247">
        <f t="shared" si="143"/>
        <v>0</v>
      </c>
      <c r="AY247">
        <f t="shared" si="146"/>
        <v>0</v>
      </c>
      <c r="AZ247">
        <f t="shared" si="144"/>
        <v>0</v>
      </c>
      <c r="BA247">
        <f t="shared" si="145"/>
        <v>0</v>
      </c>
      <c r="BJ247">
        <f t="shared" si="147"/>
        <v>0</v>
      </c>
      <c r="BK247">
        <f t="shared" si="148"/>
        <v>0</v>
      </c>
    </row>
    <row r="248" spans="1:63" x14ac:dyDescent="0.2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6"/>
        <v>0</v>
      </c>
      <c r="S248">
        <f t="shared" si="135"/>
        <v>0</v>
      </c>
      <c r="AD248">
        <f t="shared" si="137"/>
        <v>0</v>
      </c>
      <c r="AE248">
        <f t="shared" si="138"/>
        <v>0</v>
      </c>
      <c r="AF248">
        <f t="shared" si="139"/>
        <v>0</v>
      </c>
      <c r="AG248">
        <f t="shared" si="140"/>
        <v>0</v>
      </c>
      <c r="AH248">
        <f t="shared" si="141"/>
        <v>0</v>
      </c>
      <c r="AW248">
        <f t="shared" si="142"/>
        <v>0</v>
      </c>
      <c r="AX248">
        <f t="shared" si="143"/>
        <v>0</v>
      </c>
      <c r="AY248">
        <f t="shared" si="146"/>
        <v>0</v>
      </c>
      <c r="AZ248">
        <f t="shared" si="144"/>
        <v>0</v>
      </c>
      <c r="BA248">
        <f t="shared" si="145"/>
        <v>0</v>
      </c>
      <c r="BJ248">
        <f t="shared" si="147"/>
        <v>0</v>
      </c>
      <c r="BK248">
        <f t="shared" si="148"/>
        <v>0</v>
      </c>
    </row>
    <row r="249" spans="1:63" x14ac:dyDescent="0.2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6"/>
        <v>0</v>
      </c>
      <c r="S249">
        <f t="shared" si="135"/>
        <v>0</v>
      </c>
      <c r="AD249">
        <f t="shared" si="137"/>
        <v>0</v>
      </c>
      <c r="AE249">
        <f t="shared" si="138"/>
        <v>0</v>
      </c>
      <c r="AF249">
        <f t="shared" si="139"/>
        <v>0</v>
      </c>
      <c r="AG249">
        <f t="shared" si="140"/>
        <v>0</v>
      </c>
      <c r="AH249">
        <f t="shared" si="141"/>
        <v>0</v>
      </c>
      <c r="AW249">
        <f t="shared" si="142"/>
        <v>0</v>
      </c>
      <c r="AX249">
        <f t="shared" si="143"/>
        <v>0</v>
      </c>
      <c r="AY249">
        <f t="shared" si="146"/>
        <v>0</v>
      </c>
      <c r="AZ249">
        <f t="shared" si="144"/>
        <v>0</v>
      </c>
      <c r="BA249">
        <f t="shared" si="145"/>
        <v>0</v>
      </c>
      <c r="BJ249">
        <f t="shared" si="147"/>
        <v>0</v>
      </c>
      <c r="BK249">
        <f t="shared" si="148"/>
        <v>0</v>
      </c>
    </row>
    <row r="250" spans="1:63" x14ac:dyDescent="0.2">
      <c r="R250">
        <f t="shared" si="136"/>
        <v>0</v>
      </c>
      <c r="S250">
        <f t="shared" si="135"/>
        <v>0</v>
      </c>
      <c r="AD250">
        <f t="shared" si="137"/>
        <v>0</v>
      </c>
      <c r="AE250">
        <f t="shared" si="138"/>
        <v>0</v>
      </c>
      <c r="AF250">
        <f t="shared" si="139"/>
        <v>0</v>
      </c>
      <c r="AG250">
        <f t="shared" si="140"/>
        <v>0</v>
      </c>
      <c r="AH250">
        <f t="shared" si="141"/>
        <v>0</v>
      </c>
      <c r="AW250">
        <f>AD250</f>
        <v>0</v>
      </c>
      <c r="AX250">
        <f t="shared" si="143"/>
        <v>0</v>
      </c>
      <c r="AY250">
        <f t="shared" si="146"/>
        <v>0</v>
      </c>
      <c r="AZ250">
        <f t="shared" si="144"/>
        <v>0</v>
      </c>
      <c r="BA250">
        <f t="shared" si="145"/>
        <v>0</v>
      </c>
      <c r="BJ250">
        <f t="shared" si="147"/>
        <v>0</v>
      </c>
      <c r="BK250">
        <f t="shared" si="148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500"/>
  <sheetViews>
    <sheetView topLeftCell="A160" workbookViewId="0">
      <selection activeCell="C24" sqref="C24"/>
    </sheetView>
  </sheetViews>
  <sheetFormatPr defaultRowHeight="12.75" x14ac:dyDescent="0.2"/>
  <sheetData>
    <row r="1" spans="1:2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107</v>
      </c>
      <c r="N1" t="s">
        <v>108</v>
      </c>
      <c r="O1" t="s">
        <v>109</v>
      </c>
      <c r="P1" t="s">
        <v>110</v>
      </c>
      <c r="R1" t="s">
        <v>111</v>
      </c>
      <c r="S1" t="s">
        <v>112</v>
      </c>
      <c r="T1" t="s">
        <v>113</v>
      </c>
      <c r="W1" t="s">
        <v>114</v>
      </c>
      <c r="X1">
        <f>MAX(R:R)</f>
        <v>6</v>
      </c>
    </row>
    <row r="2" spans="1:24" x14ac:dyDescent="0.2">
      <c r="A2" s="1">
        <v>1</v>
      </c>
      <c r="B2" s="1" t="s">
        <v>11</v>
      </c>
      <c r="C2" s="1">
        <v>0</v>
      </c>
      <c r="D2" s="1">
        <v>0</v>
      </c>
      <c r="E2" s="1">
        <v>5215</v>
      </c>
      <c r="F2" s="1">
        <v>3650</v>
      </c>
      <c r="I2" s="1">
        <v>94.343999999999994</v>
      </c>
      <c r="J2" s="1">
        <v>0.24199999999999999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115</v>
      </c>
      <c r="X2">
        <f>MAX(A:A)</f>
        <v>96</v>
      </c>
    </row>
    <row r="3" spans="1:24" x14ac:dyDescent="0.2">
      <c r="A3" s="1">
        <v>1</v>
      </c>
      <c r="B3" s="1" t="s">
        <v>11</v>
      </c>
      <c r="C3" s="1">
        <v>0</v>
      </c>
      <c r="D3" s="1">
        <v>1</v>
      </c>
      <c r="E3" s="1">
        <v>5216</v>
      </c>
      <c r="F3" s="1">
        <v>3650</v>
      </c>
      <c r="I3" s="1">
        <v>94.230999999999995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2">
      <c r="A4" s="1">
        <v>1</v>
      </c>
      <c r="B4" s="1" t="s">
        <v>11</v>
      </c>
      <c r="C4" s="1">
        <v>0</v>
      </c>
      <c r="D4" s="1">
        <v>0</v>
      </c>
      <c r="G4" s="1">
        <v>4213</v>
      </c>
      <c r="H4" s="1">
        <v>4848</v>
      </c>
      <c r="I4" s="1">
        <v>75.945999999999998</v>
      </c>
      <c r="K4" s="1">
        <v>0.46600000000000003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2">
      <c r="A5" s="1">
        <v>1</v>
      </c>
      <c r="B5" s="1" t="s">
        <v>11</v>
      </c>
      <c r="C5" s="1">
        <v>0</v>
      </c>
      <c r="D5" s="1">
        <v>1</v>
      </c>
      <c r="G5" s="1">
        <v>4212</v>
      </c>
      <c r="H5" s="1">
        <v>4845</v>
      </c>
      <c r="I5" s="1">
        <v>76.906000000000006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2">
      <c r="A6" s="1">
        <v>2</v>
      </c>
      <c r="B6" s="1" t="s">
        <v>12</v>
      </c>
      <c r="C6" s="1">
        <v>0.502</v>
      </c>
      <c r="D6" s="1">
        <v>0</v>
      </c>
      <c r="E6" s="1">
        <v>5228</v>
      </c>
      <c r="F6" s="1">
        <v>3657</v>
      </c>
      <c r="I6" s="1">
        <v>94.489000000000004</v>
      </c>
      <c r="J6" s="1">
        <v>0.127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2">
      <c r="A7" s="1">
        <v>2</v>
      </c>
      <c r="B7" s="1" t="s">
        <v>12</v>
      </c>
      <c r="C7" s="1">
        <v>0.502</v>
      </c>
      <c r="D7" s="1">
        <v>1</v>
      </c>
      <c r="E7" s="1">
        <v>5229</v>
      </c>
      <c r="F7" s="1">
        <v>3657</v>
      </c>
      <c r="I7" s="1">
        <v>94.510999999999996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2">
      <c r="A8" s="1">
        <v>2</v>
      </c>
      <c r="B8" s="1" t="s">
        <v>12</v>
      </c>
      <c r="C8" s="1">
        <v>0.502</v>
      </c>
      <c r="D8" s="1">
        <v>0</v>
      </c>
      <c r="E8" s="1">
        <v>389</v>
      </c>
      <c r="F8" s="1">
        <v>274</v>
      </c>
      <c r="I8" s="1">
        <v>9.9130000000000003</v>
      </c>
      <c r="J8" s="1">
        <v>5.0510000000000002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2">
      <c r="A9" s="1">
        <v>2</v>
      </c>
      <c r="B9" s="1" t="s">
        <v>12</v>
      </c>
      <c r="C9" s="1">
        <v>0.502</v>
      </c>
      <c r="D9" s="1">
        <v>0</v>
      </c>
      <c r="G9" s="1">
        <v>543</v>
      </c>
      <c r="H9" s="1">
        <v>617</v>
      </c>
      <c r="I9" s="1">
        <v>14.106999999999999</v>
      </c>
      <c r="K9" s="1">
        <v>-13.762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2">
      <c r="A10" s="1">
        <v>2</v>
      </c>
      <c r="B10" s="1" t="s">
        <v>12</v>
      </c>
      <c r="C10" s="1">
        <v>0.502</v>
      </c>
      <c r="D10" s="1">
        <v>0</v>
      </c>
      <c r="G10" s="1">
        <v>4215</v>
      </c>
      <c r="H10" s="1">
        <v>4848</v>
      </c>
      <c r="I10" s="1">
        <v>76.619</v>
      </c>
      <c r="K10" s="1">
        <v>0.41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2">
      <c r="A11" s="1">
        <v>2</v>
      </c>
      <c r="B11" s="1" t="s">
        <v>12</v>
      </c>
      <c r="C11" s="1">
        <v>0.502</v>
      </c>
      <c r="D11" s="1">
        <v>1</v>
      </c>
      <c r="G11" s="1">
        <v>4212</v>
      </c>
      <c r="H11" s="1">
        <v>4841</v>
      </c>
      <c r="I11" s="1">
        <v>76.948999999999998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2">
      <c r="A12" s="1">
        <v>3</v>
      </c>
      <c r="B12" s="1" t="s">
        <v>13</v>
      </c>
      <c r="C12" s="1">
        <v>1.8</v>
      </c>
      <c r="D12" s="1">
        <v>0</v>
      </c>
      <c r="E12" s="1">
        <v>5228</v>
      </c>
      <c r="F12" s="1">
        <v>3656</v>
      </c>
      <c r="I12" s="1">
        <v>94.522000000000006</v>
      </c>
      <c r="J12" s="1">
        <v>8.4000000000000005E-2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2">
      <c r="A13" s="1">
        <v>3</v>
      </c>
      <c r="B13" s="1" t="s">
        <v>13</v>
      </c>
      <c r="C13" s="1">
        <v>1.8</v>
      </c>
      <c r="D13" s="1">
        <v>1</v>
      </c>
      <c r="E13" s="1">
        <v>5225</v>
      </c>
      <c r="F13" s="1">
        <v>3654</v>
      </c>
      <c r="I13" s="1">
        <v>94.498000000000005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2">
      <c r="A14" s="1">
        <v>3</v>
      </c>
      <c r="B14" s="1" t="s">
        <v>13</v>
      </c>
      <c r="C14" s="1">
        <v>1.8</v>
      </c>
      <c r="D14" s="1">
        <v>0</v>
      </c>
      <c r="E14" s="1">
        <v>1530</v>
      </c>
      <c r="F14" s="1">
        <v>1075</v>
      </c>
      <c r="I14" s="1">
        <v>37.656999999999996</v>
      </c>
      <c r="J14" s="1">
        <v>4.4969999999999999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2">
      <c r="A15" s="1">
        <v>3</v>
      </c>
      <c r="B15" s="1" t="s">
        <v>13</v>
      </c>
      <c r="C15" s="1">
        <v>1.8</v>
      </c>
      <c r="D15" s="1">
        <v>0</v>
      </c>
      <c r="G15" s="1">
        <v>1974</v>
      </c>
      <c r="H15" s="1">
        <v>2249</v>
      </c>
      <c r="I15" s="1">
        <v>53.372999999999998</v>
      </c>
      <c r="K15" s="1">
        <v>-14.125999999999999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2">
      <c r="A16" s="1">
        <v>3</v>
      </c>
      <c r="B16" s="1" t="s">
        <v>13</v>
      </c>
      <c r="C16" s="1">
        <v>1.8</v>
      </c>
      <c r="D16" s="1">
        <v>0</v>
      </c>
      <c r="G16" s="1">
        <v>4217</v>
      </c>
      <c r="H16" s="1">
        <v>4848</v>
      </c>
      <c r="I16" s="1">
        <v>76.686000000000007</v>
      </c>
      <c r="K16" s="1">
        <v>0.33100000000000002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2">
      <c r="A17" s="1">
        <v>3</v>
      </c>
      <c r="B17" s="1" t="s">
        <v>13</v>
      </c>
      <c r="C17" s="1">
        <v>1.8</v>
      </c>
      <c r="D17" s="1">
        <v>1</v>
      </c>
      <c r="G17" s="1">
        <v>4214</v>
      </c>
      <c r="H17" s="1">
        <v>4844</v>
      </c>
      <c r="I17" s="1">
        <v>76.971000000000004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2">
      <c r="A18" s="1">
        <v>4</v>
      </c>
      <c r="B18" s="1" t="s">
        <v>14</v>
      </c>
      <c r="C18" s="1">
        <v>0.997</v>
      </c>
      <c r="D18" s="1">
        <v>0</v>
      </c>
      <c r="E18" s="1">
        <v>5231</v>
      </c>
      <c r="F18" s="1">
        <v>3658</v>
      </c>
      <c r="I18" s="1">
        <v>94.491</v>
      </c>
      <c r="J18" s="1">
        <v>8.3000000000000004E-2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2">
      <c r="A19" s="1">
        <v>4</v>
      </c>
      <c r="B19" s="1" t="s">
        <v>14</v>
      </c>
      <c r="C19" s="1">
        <v>0.997</v>
      </c>
      <c r="D19" s="1">
        <v>1</v>
      </c>
      <c r="E19" s="1">
        <v>5228</v>
      </c>
      <c r="F19" s="1">
        <v>3656</v>
      </c>
      <c r="I19" s="1">
        <v>94.58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2">
      <c r="A20" s="1">
        <v>4</v>
      </c>
      <c r="B20" s="1" t="s">
        <v>14</v>
      </c>
      <c r="C20" s="1">
        <v>0.997</v>
      </c>
      <c r="D20" s="1">
        <v>0</v>
      </c>
      <c r="E20" s="1">
        <v>801</v>
      </c>
      <c r="F20" s="1">
        <v>563</v>
      </c>
      <c r="I20" s="1">
        <v>20.081</v>
      </c>
      <c r="J20" s="1">
        <v>4.7519999999999998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2">
      <c r="A21" s="1">
        <v>4</v>
      </c>
      <c r="B21" s="1" t="s">
        <v>14</v>
      </c>
      <c r="C21" s="1">
        <v>0.997</v>
      </c>
      <c r="D21" s="1">
        <v>0</v>
      </c>
      <c r="G21" s="1">
        <v>1091</v>
      </c>
      <c r="H21" s="1">
        <v>1241</v>
      </c>
      <c r="I21" s="1">
        <v>28.681999999999999</v>
      </c>
      <c r="K21" s="1">
        <v>-13.920999999999999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2">
      <c r="A22" s="1">
        <v>4</v>
      </c>
      <c r="B22" s="1" t="s">
        <v>14</v>
      </c>
      <c r="C22" s="1">
        <v>0.997</v>
      </c>
      <c r="D22" s="1">
        <v>0</v>
      </c>
      <c r="G22" s="1">
        <v>4217</v>
      </c>
      <c r="H22" s="1">
        <v>4848</v>
      </c>
      <c r="I22" s="1">
        <v>76.641999999999996</v>
      </c>
      <c r="K22" s="1">
        <v>0.35199999999999998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2">
      <c r="A23" s="1">
        <v>4</v>
      </c>
      <c r="B23" s="1" t="s">
        <v>14</v>
      </c>
      <c r="C23" s="1">
        <v>0.997</v>
      </c>
      <c r="D23" s="1">
        <v>1</v>
      </c>
      <c r="G23" s="1">
        <v>4215</v>
      </c>
      <c r="H23" s="1">
        <v>4845</v>
      </c>
      <c r="I23" s="1">
        <v>77.06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2">
      <c r="A24" s="1">
        <v>5</v>
      </c>
      <c r="B24" s="1" t="s">
        <v>15</v>
      </c>
      <c r="C24" s="1">
        <v>2.8039999999999998</v>
      </c>
      <c r="D24" s="1">
        <v>0</v>
      </c>
      <c r="E24" s="1">
        <v>5230</v>
      </c>
      <c r="F24" s="1">
        <v>3657</v>
      </c>
      <c r="I24" s="1">
        <v>94.619</v>
      </c>
      <c r="J24" s="1">
        <v>0.111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2">
      <c r="A25" s="1">
        <v>5</v>
      </c>
      <c r="B25" s="1" t="s">
        <v>15</v>
      </c>
      <c r="C25" s="1">
        <v>2.8039999999999998</v>
      </c>
      <c r="D25" s="1">
        <v>1</v>
      </c>
      <c r="E25" s="1">
        <v>5228</v>
      </c>
      <c r="F25" s="1">
        <v>3656</v>
      </c>
      <c r="I25" s="1">
        <v>94.534999999999997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2">
      <c r="A26" s="1">
        <v>5</v>
      </c>
      <c r="B26" s="1" t="s">
        <v>15</v>
      </c>
      <c r="C26" s="1">
        <v>2.8039999999999998</v>
      </c>
      <c r="D26" s="1">
        <v>0</v>
      </c>
      <c r="E26" s="1">
        <v>2417</v>
      </c>
      <c r="F26" s="1">
        <v>1699</v>
      </c>
      <c r="I26" s="1">
        <v>58.277999999999999</v>
      </c>
      <c r="J26" s="1">
        <v>4.2670000000000003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2">
      <c r="A27" s="1">
        <v>5</v>
      </c>
      <c r="B27" s="1" t="s">
        <v>15</v>
      </c>
      <c r="C27" s="1">
        <v>2.8039999999999998</v>
      </c>
      <c r="D27" s="1">
        <v>0</v>
      </c>
      <c r="G27" s="1">
        <v>2948</v>
      </c>
      <c r="H27" s="1">
        <v>3364</v>
      </c>
      <c r="I27" s="1">
        <v>83.227999999999994</v>
      </c>
      <c r="K27" s="1">
        <v>-14.278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2">
      <c r="A28" s="1">
        <v>5</v>
      </c>
      <c r="B28" s="1" t="s">
        <v>15</v>
      </c>
      <c r="C28" s="1">
        <v>2.8039999999999998</v>
      </c>
      <c r="D28" s="1">
        <v>0</v>
      </c>
      <c r="G28" s="1">
        <v>4217</v>
      </c>
      <c r="H28" s="1">
        <v>4848</v>
      </c>
      <c r="I28" s="1">
        <v>76.631</v>
      </c>
      <c r="K28" s="1">
        <v>0.308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2">
      <c r="A29" s="1">
        <v>5</v>
      </c>
      <c r="B29" s="1" t="s">
        <v>15</v>
      </c>
      <c r="C29" s="1">
        <v>2.8039999999999998</v>
      </c>
      <c r="D29" s="1">
        <v>1</v>
      </c>
      <c r="G29" s="1">
        <v>4213</v>
      </c>
      <c r="H29" s="1">
        <v>4843</v>
      </c>
      <c r="I29" s="1">
        <v>76.929000000000002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2">
      <c r="A30" s="1">
        <v>6</v>
      </c>
      <c r="B30" s="1" t="s">
        <v>16</v>
      </c>
      <c r="C30" s="1">
        <v>4.0030000000000001</v>
      </c>
      <c r="D30" s="1">
        <v>0</v>
      </c>
      <c r="E30" s="1">
        <v>5228</v>
      </c>
      <c r="F30" s="1">
        <v>3656</v>
      </c>
      <c r="I30" s="1">
        <v>94.542000000000002</v>
      </c>
      <c r="J30" s="1">
        <v>4.9000000000000002E-2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2">
      <c r="A31" s="1">
        <v>6</v>
      </c>
      <c r="B31" s="1" t="s">
        <v>16</v>
      </c>
      <c r="C31" s="1">
        <v>4.0030000000000001</v>
      </c>
      <c r="D31" s="1">
        <v>1</v>
      </c>
      <c r="E31" s="1">
        <v>5224</v>
      </c>
      <c r="F31" s="1">
        <v>3653</v>
      </c>
      <c r="I31" s="1">
        <v>94.503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2">
      <c r="A32" s="1">
        <v>6</v>
      </c>
      <c r="B32" s="1" t="s">
        <v>16</v>
      </c>
      <c r="C32" s="1">
        <v>4.0030000000000001</v>
      </c>
      <c r="D32" s="1">
        <v>0</v>
      </c>
      <c r="E32" s="1">
        <v>3555</v>
      </c>
      <c r="F32" s="1">
        <v>2498</v>
      </c>
      <c r="I32" s="1">
        <v>83.662999999999997</v>
      </c>
      <c r="J32" s="1">
        <v>4.0039999999999996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2">
      <c r="A33" s="1">
        <v>6</v>
      </c>
      <c r="B33" s="1" t="s">
        <v>16</v>
      </c>
      <c r="C33" s="1">
        <v>4.0030000000000001</v>
      </c>
      <c r="D33" s="1">
        <v>0</v>
      </c>
      <c r="G33" s="1">
        <v>3988</v>
      </c>
      <c r="H33" s="1">
        <v>4557</v>
      </c>
      <c r="I33" s="1">
        <v>119.94</v>
      </c>
      <c r="K33" s="1">
        <v>-14.393000000000001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2">
      <c r="A34" s="1">
        <v>6</v>
      </c>
      <c r="B34" s="1" t="s">
        <v>16</v>
      </c>
      <c r="C34" s="1">
        <v>4.0030000000000001</v>
      </c>
      <c r="D34" s="1">
        <v>0</v>
      </c>
      <c r="G34" s="1">
        <v>4215</v>
      </c>
      <c r="H34" s="1">
        <v>4846</v>
      </c>
      <c r="I34" s="1">
        <v>76.668999999999997</v>
      </c>
      <c r="K34" s="1">
        <v>0.27800000000000002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2">
      <c r="A35" s="1">
        <v>6</v>
      </c>
      <c r="B35" s="1" t="s">
        <v>16</v>
      </c>
      <c r="C35" s="1">
        <v>4.0030000000000001</v>
      </c>
      <c r="D35" s="1">
        <v>1</v>
      </c>
      <c r="G35" s="1">
        <v>4211</v>
      </c>
      <c r="H35" s="1">
        <v>4841</v>
      </c>
      <c r="I35" s="1">
        <v>76.864999999999995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2">
      <c r="A36" s="1">
        <v>7</v>
      </c>
      <c r="B36" s="1" t="s">
        <v>17</v>
      </c>
      <c r="C36" s="1">
        <v>5</v>
      </c>
      <c r="D36" s="1">
        <v>0</v>
      </c>
      <c r="E36" s="1">
        <v>5225</v>
      </c>
      <c r="F36" s="1">
        <v>3654</v>
      </c>
      <c r="I36" s="1">
        <v>94.417000000000002</v>
      </c>
      <c r="J36" s="1">
        <v>7.8E-2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2">
      <c r="A37" s="1">
        <v>7</v>
      </c>
      <c r="B37" s="1" t="s">
        <v>17</v>
      </c>
      <c r="C37" s="1">
        <v>5</v>
      </c>
      <c r="D37" s="1">
        <v>1</v>
      </c>
      <c r="E37" s="1">
        <v>5221</v>
      </c>
      <c r="F37" s="1">
        <v>3651</v>
      </c>
      <c r="I37" s="1">
        <v>94.506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2">
      <c r="A38" s="1">
        <v>7</v>
      </c>
      <c r="B38" s="1" t="s">
        <v>17</v>
      </c>
      <c r="C38" s="1">
        <v>5</v>
      </c>
      <c r="D38" s="1">
        <v>0</v>
      </c>
      <c r="E38" s="1">
        <v>4532</v>
      </c>
      <c r="F38" s="1">
        <v>3184</v>
      </c>
      <c r="I38" s="1">
        <v>105.021</v>
      </c>
      <c r="J38" s="1">
        <v>3.9049999999999998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2">
      <c r="A39" s="1">
        <v>7</v>
      </c>
      <c r="B39" s="1" t="s">
        <v>17</v>
      </c>
      <c r="C39" s="1">
        <v>5</v>
      </c>
      <c r="D39" s="1">
        <v>0</v>
      </c>
      <c r="G39" s="1">
        <v>4741</v>
      </c>
      <c r="H39" s="1">
        <v>5420</v>
      </c>
      <c r="I39" s="1">
        <v>150.477</v>
      </c>
      <c r="K39" s="1">
        <v>-14.598000000000001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2">
      <c r="A40" s="1">
        <v>7</v>
      </c>
      <c r="B40" s="1" t="s">
        <v>17</v>
      </c>
      <c r="C40" s="1">
        <v>5</v>
      </c>
      <c r="D40" s="1">
        <v>0</v>
      </c>
      <c r="G40" s="1">
        <v>4211</v>
      </c>
      <c r="H40" s="1">
        <v>4841</v>
      </c>
      <c r="I40" s="1">
        <v>76.650000000000006</v>
      </c>
      <c r="K40" s="1">
        <v>0.27500000000000002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2">
      <c r="A41" s="1">
        <v>7</v>
      </c>
      <c r="B41" s="1" t="s">
        <v>17</v>
      </c>
      <c r="C41" s="1">
        <v>5</v>
      </c>
      <c r="D41" s="1">
        <v>1</v>
      </c>
      <c r="G41" s="1">
        <v>4210</v>
      </c>
      <c r="H41" s="1">
        <v>4839</v>
      </c>
      <c r="I41" s="1">
        <v>76.808999999999997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2">
      <c r="A42" s="1">
        <v>8</v>
      </c>
      <c r="B42" s="1" t="s">
        <v>18</v>
      </c>
      <c r="C42" s="1">
        <v>5.9980000000000002</v>
      </c>
      <c r="D42" s="1">
        <v>0</v>
      </c>
      <c r="E42" s="1">
        <v>5222</v>
      </c>
      <c r="F42" s="1">
        <v>3652</v>
      </c>
      <c r="I42" s="1">
        <v>94.466999999999999</v>
      </c>
      <c r="J42" s="1">
        <v>3.5999999999999997E-2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2">
      <c r="A43" s="1">
        <v>8</v>
      </c>
      <c r="B43" s="1" t="s">
        <v>18</v>
      </c>
      <c r="C43" s="1">
        <v>5.9980000000000002</v>
      </c>
      <c r="D43" s="1">
        <v>1</v>
      </c>
      <c r="E43" s="1">
        <v>5220</v>
      </c>
      <c r="F43" s="1">
        <v>3651</v>
      </c>
      <c r="I43" s="1">
        <v>94.495999999999995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2">
      <c r="A44" s="1">
        <v>8</v>
      </c>
      <c r="B44" s="1" t="s">
        <v>18</v>
      </c>
      <c r="C44" s="1">
        <v>5.9980000000000002</v>
      </c>
      <c r="D44" s="1">
        <v>0</v>
      </c>
      <c r="E44" s="1">
        <v>5571</v>
      </c>
      <c r="F44" s="1">
        <v>3913</v>
      </c>
      <c r="I44" s="1">
        <v>126.947</v>
      </c>
      <c r="J44" s="1">
        <v>3.6520000000000001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2">
      <c r="A45" s="1">
        <v>8</v>
      </c>
      <c r="B45" s="1" t="s">
        <v>18</v>
      </c>
      <c r="C45" s="1">
        <v>5.9980000000000002</v>
      </c>
      <c r="D45" s="1">
        <v>0</v>
      </c>
      <c r="G45" s="1">
        <v>5447</v>
      </c>
      <c r="H45" s="1">
        <v>6228</v>
      </c>
      <c r="I45" s="1">
        <v>181.465</v>
      </c>
      <c r="K45" s="1">
        <v>-14.728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2">
      <c r="A46" s="1">
        <v>8</v>
      </c>
      <c r="B46" s="1" t="s">
        <v>18</v>
      </c>
      <c r="C46" s="1">
        <v>5.9980000000000002</v>
      </c>
      <c r="D46" s="1">
        <v>0</v>
      </c>
      <c r="G46" s="1">
        <v>4211</v>
      </c>
      <c r="H46" s="1">
        <v>4841</v>
      </c>
      <c r="I46" s="1">
        <v>76.578000000000003</v>
      </c>
      <c r="K46" s="1">
        <v>0.28499999999999998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2">
      <c r="A47" s="1">
        <v>8</v>
      </c>
      <c r="B47" s="1" t="s">
        <v>18</v>
      </c>
      <c r="C47" s="1">
        <v>5.9980000000000002</v>
      </c>
      <c r="D47" s="1">
        <v>1</v>
      </c>
      <c r="G47" s="1">
        <v>4207</v>
      </c>
      <c r="H47" s="1">
        <v>4836</v>
      </c>
      <c r="I47" s="1">
        <v>76.843999999999994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2">
      <c r="A48" s="1">
        <v>9</v>
      </c>
      <c r="B48" s="1" t="s">
        <v>19</v>
      </c>
      <c r="C48" s="1">
        <v>12</v>
      </c>
      <c r="D48" s="1">
        <v>0</v>
      </c>
      <c r="E48" s="1">
        <v>5219</v>
      </c>
      <c r="F48" s="1">
        <v>3650</v>
      </c>
      <c r="I48" s="1">
        <v>94.402000000000001</v>
      </c>
      <c r="J48" s="1">
        <v>4.3999999999999997E-2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2">
      <c r="A49" s="1">
        <v>9</v>
      </c>
      <c r="B49" s="1" t="s">
        <v>19</v>
      </c>
      <c r="C49" s="1">
        <v>12</v>
      </c>
      <c r="D49" s="1">
        <v>1</v>
      </c>
      <c r="E49" s="1">
        <v>5216</v>
      </c>
      <c r="F49" s="1">
        <v>3649</v>
      </c>
      <c r="I49" s="1">
        <v>94.343999999999994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2">
      <c r="A50" s="1">
        <v>9</v>
      </c>
      <c r="B50" s="1" t="s">
        <v>19</v>
      </c>
      <c r="C50" s="1">
        <v>12</v>
      </c>
      <c r="D50" s="1">
        <v>0</v>
      </c>
      <c r="E50" s="1">
        <v>667</v>
      </c>
      <c r="F50" s="1">
        <v>470</v>
      </c>
      <c r="I50" s="1">
        <v>16.936</v>
      </c>
      <c r="J50" s="1">
        <v>5.9690000000000003</v>
      </c>
      <c r="M50" t="b">
        <f t="shared" si="6"/>
        <v>1</v>
      </c>
      <c r="N50">
        <f t="shared" si="1"/>
        <v>1</v>
      </c>
      <c r="O50">
        <f t="shared" si="2"/>
        <v>0</v>
      </c>
      <c r="P50">
        <f t="shared" si="7"/>
        <v>3</v>
      </c>
      <c r="R50">
        <f t="shared" si="3"/>
        <v>3</v>
      </c>
      <c r="S50">
        <f t="shared" si="4"/>
        <v>2</v>
      </c>
      <c r="T50">
        <f t="shared" si="5"/>
        <v>0</v>
      </c>
    </row>
    <row r="51" spans="1:20" x14ac:dyDescent="0.2">
      <c r="A51" s="1">
        <v>9</v>
      </c>
      <c r="B51" s="1" t="s">
        <v>19</v>
      </c>
      <c r="C51" s="1">
        <v>12</v>
      </c>
      <c r="D51" s="1">
        <v>0</v>
      </c>
      <c r="G51" s="1">
        <v>928</v>
      </c>
      <c r="H51" s="1">
        <v>1062</v>
      </c>
      <c r="I51" s="1">
        <v>24.515999999999998</v>
      </c>
      <c r="K51" s="1">
        <v>-7.2380000000000004</v>
      </c>
      <c r="M51" t="b">
        <f t="shared" si="6"/>
        <v>1</v>
      </c>
      <c r="N51">
        <f t="shared" si="1"/>
        <v>0</v>
      </c>
      <c r="O51">
        <f t="shared" si="2"/>
        <v>0</v>
      </c>
      <c r="P51">
        <f t="shared" si="7"/>
        <v>4</v>
      </c>
      <c r="R51">
        <f t="shared" si="3"/>
        <v>4</v>
      </c>
      <c r="S51">
        <f t="shared" si="4"/>
        <v>2</v>
      </c>
      <c r="T51">
        <f t="shared" si="5"/>
        <v>0</v>
      </c>
    </row>
    <row r="52" spans="1:20" x14ac:dyDescent="0.2">
      <c r="A52" s="1">
        <v>9</v>
      </c>
      <c r="B52" s="1" t="s">
        <v>19</v>
      </c>
      <c r="C52" s="1">
        <v>12</v>
      </c>
      <c r="D52" s="1">
        <v>0</v>
      </c>
      <c r="G52" s="1">
        <v>4209</v>
      </c>
      <c r="H52" s="1">
        <v>4840</v>
      </c>
      <c r="I52" s="1">
        <v>76.563999999999993</v>
      </c>
      <c r="K52" s="1">
        <v>0.34</v>
      </c>
      <c r="M52" t="b">
        <f t="shared" si="6"/>
        <v>0</v>
      </c>
      <c r="N52">
        <f t="shared" si="1"/>
        <v>0</v>
      </c>
      <c r="O52">
        <f t="shared" si="2"/>
        <v>0</v>
      </c>
      <c r="P52">
        <f t="shared" si="7"/>
        <v>5</v>
      </c>
      <c r="R52">
        <f t="shared" si="3"/>
        <v>5</v>
      </c>
      <c r="S52">
        <f t="shared" si="4"/>
        <v>2</v>
      </c>
      <c r="T52">
        <f t="shared" si="5"/>
        <v>0</v>
      </c>
    </row>
    <row r="53" spans="1:20" x14ac:dyDescent="0.2">
      <c r="A53" s="1">
        <v>9</v>
      </c>
      <c r="B53" s="1" t="s">
        <v>19</v>
      </c>
      <c r="C53" s="1">
        <v>12</v>
      </c>
      <c r="D53" s="1">
        <v>1</v>
      </c>
      <c r="G53" s="1">
        <v>4206</v>
      </c>
      <c r="H53" s="1">
        <v>4836</v>
      </c>
      <c r="I53" s="1">
        <v>76.872</v>
      </c>
      <c r="K53" s="1">
        <v>0</v>
      </c>
      <c r="M53" t="b">
        <f t="shared" si="6"/>
        <v>0</v>
      </c>
      <c r="N53">
        <f t="shared" si="1"/>
        <v>0</v>
      </c>
      <c r="O53">
        <f t="shared" si="2"/>
        <v>1</v>
      </c>
      <c r="P53">
        <f t="shared" si="7"/>
        <v>6</v>
      </c>
      <c r="R53">
        <f t="shared" si="3"/>
        <v>6</v>
      </c>
      <c r="S53">
        <f t="shared" si="4"/>
        <v>2</v>
      </c>
      <c r="T53">
        <f t="shared" si="5"/>
        <v>0</v>
      </c>
    </row>
    <row r="54" spans="1:20" x14ac:dyDescent="0.2">
      <c r="A54" s="1">
        <v>10</v>
      </c>
      <c r="B54" s="1" t="s">
        <v>20</v>
      </c>
      <c r="C54" s="1">
        <v>29.667000000000002</v>
      </c>
      <c r="D54" s="1">
        <v>0</v>
      </c>
      <c r="E54" s="1">
        <v>5216</v>
      </c>
      <c r="F54" s="1">
        <v>3648</v>
      </c>
      <c r="I54" s="1">
        <v>94.320999999999998</v>
      </c>
      <c r="J54" s="1">
        <v>6.5000000000000002E-2</v>
      </c>
      <c r="M54" t="b">
        <f t="shared" si="6"/>
        <v>0</v>
      </c>
      <c r="N54">
        <f t="shared" si="1"/>
        <v>1</v>
      </c>
      <c r="O54">
        <f t="shared" si="2"/>
        <v>0</v>
      </c>
      <c r="P54">
        <f t="shared" si="7"/>
        <v>1</v>
      </c>
      <c r="R54">
        <f t="shared" si="3"/>
        <v>1</v>
      </c>
      <c r="S54">
        <f t="shared" si="4"/>
        <v>2</v>
      </c>
      <c r="T54">
        <f t="shared" si="5"/>
        <v>0</v>
      </c>
    </row>
    <row r="55" spans="1:20" x14ac:dyDescent="0.2">
      <c r="A55" s="1">
        <v>10</v>
      </c>
      <c r="B55" s="1" t="s">
        <v>20</v>
      </c>
      <c r="C55" s="1">
        <v>29.667000000000002</v>
      </c>
      <c r="D55" s="1">
        <v>1</v>
      </c>
      <c r="E55" s="1">
        <v>5215</v>
      </c>
      <c r="F55" s="1">
        <v>3648</v>
      </c>
      <c r="I55" s="1">
        <v>94.344999999999999</v>
      </c>
      <c r="J55" s="1">
        <v>0</v>
      </c>
      <c r="M55" t="b">
        <f t="shared" si="6"/>
        <v>0</v>
      </c>
      <c r="N55">
        <f t="shared" si="1"/>
        <v>1</v>
      </c>
      <c r="O55">
        <f t="shared" si="2"/>
        <v>1</v>
      </c>
      <c r="P55">
        <f t="shared" si="7"/>
        <v>2</v>
      </c>
      <c r="R55">
        <f t="shared" si="3"/>
        <v>2</v>
      </c>
      <c r="S55">
        <f t="shared" si="4"/>
        <v>2</v>
      </c>
      <c r="T55">
        <f t="shared" si="5"/>
        <v>0</v>
      </c>
    </row>
    <row r="56" spans="1:20" x14ac:dyDescent="0.2">
      <c r="A56" s="1">
        <v>10</v>
      </c>
      <c r="B56" s="1" t="s">
        <v>20</v>
      </c>
      <c r="C56" s="1">
        <v>29.667000000000002</v>
      </c>
      <c r="D56" s="1">
        <v>0</v>
      </c>
      <c r="E56" s="1">
        <v>572</v>
      </c>
      <c r="F56" s="1">
        <v>403</v>
      </c>
      <c r="I56" s="1">
        <v>14.952</v>
      </c>
      <c r="J56" s="1">
        <v>6.7</v>
      </c>
      <c r="M56" t="b">
        <f t="shared" si="6"/>
        <v>1</v>
      </c>
      <c r="N56">
        <f t="shared" si="1"/>
        <v>1</v>
      </c>
      <c r="O56">
        <f t="shared" si="2"/>
        <v>0</v>
      </c>
      <c r="P56">
        <f t="shared" si="7"/>
        <v>3</v>
      </c>
      <c r="R56">
        <f t="shared" si="3"/>
        <v>3</v>
      </c>
      <c r="S56">
        <f t="shared" si="4"/>
        <v>2</v>
      </c>
      <c r="T56">
        <f t="shared" si="5"/>
        <v>0</v>
      </c>
    </row>
    <row r="57" spans="1:20" x14ac:dyDescent="0.2">
      <c r="A57" s="1">
        <v>10</v>
      </c>
      <c r="B57" s="1" t="s">
        <v>20</v>
      </c>
      <c r="C57" s="1">
        <v>29.667000000000002</v>
      </c>
      <c r="D57" s="1">
        <v>0</v>
      </c>
      <c r="G57" s="1">
        <v>650</v>
      </c>
      <c r="H57" s="1">
        <v>739</v>
      </c>
      <c r="I57" s="1">
        <v>17.045000000000002</v>
      </c>
      <c r="K57" s="1">
        <v>-13.670999999999999</v>
      </c>
      <c r="M57" t="b">
        <f t="shared" si="6"/>
        <v>1</v>
      </c>
      <c r="N57">
        <f t="shared" si="1"/>
        <v>0</v>
      </c>
      <c r="O57">
        <f t="shared" si="2"/>
        <v>0</v>
      </c>
      <c r="P57">
        <f t="shared" si="7"/>
        <v>4</v>
      </c>
      <c r="R57">
        <f t="shared" si="3"/>
        <v>4</v>
      </c>
      <c r="S57">
        <f t="shared" si="4"/>
        <v>2</v>
      </c>
      <c r="T57">
        <f t="shared" si="5"/>
        <v>0</v>
      </c>
    </row>
    <row r="58" spans="1:20" x14ac:dyDescent="0.2">
      <c r="A58" s="1">
        <v>10</v>
      </c>
      <c r="B58" s="1" t="s">
        <v>20</v>
      </c>
      <c r="C58" s="1">
        <v>29.667000000000002</v>
      </c>
      <c r="D58" s="1">
        <v>0</v>
      </c>
      <c r="G58" s="1">
        <v>4207</v>
      </c>
      <c r="H58" s="1">
        <v>4837</v>
      </c>
      <c r="I58" s="1">
        <v>76.486000000000004</v>
      </c>
      <c r="K58" s="1">
        <v>0.36899999999999999</v>
      </c>
      <c r="M58" t="b">
        <f t="shared" si="6"/>
        <v>0</v>
      </c>
      <c r="N58">
        <f t="shared" si="1"/>
        <v>0</v>
      </c>
      <c r="O58">
        <f t="shared" si="2"/>
        <v>0</v>
      </c>
      <c r="P58">
        <f t="shared" si="7"/>
        <v>5</v>
      </c>
      <c r="R58">
        <f t="shared" si="3"/>
        <v>5</v>
      </c>
      <c r="S58">
        <f t="shared" si="4"/>
        <v>2</v>
      </c>
      <c r="T58">
        <f t="shared" si="5"/>
        <v>0</v>
      </c>
    </row>
    <row r="59" spans="1:20" x14ac:dyDescent="0.2">
      <c r="A59" s="1">
        <v>10</v>
      </c>
      <c r="B59" s="1" t="s">
        <v>20</v>
      </c>
      <c r="C59" s="1">
        <v>29.667000000000002</v>
      </c>
      <c r="D59" s="1">
        <v>1</v>
      </c>
      <c r="G59" s="1">
        <v>4201</v>
      </c>
      <c r="H59" s="1">
        <v>4829</v>
      </c>
      <c r="I59" s="1">
        <v>76.710999999999999</v>
      </c>
      <c r="K59" s="1">
        <v>0</v>
      </c>
      <c r="M59" t="b">
        <f t="shared" si="6"/>
        <v>0</v>
      </c>
      <c r="N59">
        <f t="shared" si="1"/>
        <v>0</v>
      </c>
      <c r="O59">
        <f t="shared" si="2"/>
        <v>1</v>
      </c>
      <c r="P59">
        <f t="shared" si="7"/>
        <v>6</v>
      </c>
      <c r="R59">
        <f t="shared" si="3"/>
        <v>6</v>
      </c>
      <c r="S59">
        <f t="shared" si="4"/>
        <v>2</v>
      </c>
      <c r="T59">
        <f t="shared" si="5"/>
        <v>0</v>
      </c>
    </row>
    <row r="60" spans="1:20" x14ac:dyDescent="0.2">
      <c r="A60" s="1">
        <v>11</v>
      </c>
      <c r="B60" s="1" t="s">
        <v>21</v>
      </c>
      <c r="C60" s="1">
        <v>29.562000000000001</v>
      </c>
      <c r="D60" s="1">
        <v>0</v>
      </c>
      <c r="E60" s="1">
        <v>5217</v>
      </c>
      <c r="F60" s="1">
        <v>3649</v>
      </c>
      <c r="I60" s="1">
        <v>94.325999999999993</v>
      </c>
      <c r="J60" s="1">
        <v>9.0999999999999998E-2</v>
      </c>
      <c r="M60" t="b">
        <f t="shared" si="6"/>
        <v>0</v>
      </c>
      <c r="N60">
        <f t="shared" si="1"/>
        <v>1</v>
      </c>
      <c r="O60">
        <f t="shared" si="2"/>
        <v>0</v>
      </c>
      <c r="P60">
        <f t="shared" si="7"/>
        <v>1</v>
      </c>
      <c r="R60">
        <f t="shared" si="3"/>
        <v>1</v>
      </c>
      <c r="S60">
        <f t="shared" si="4"/>
        <v>2</v>
      </c>
      <c r="T60">
        <f t="shared" si="5"/>
        <v>0</v>
      </c>
    </row>
    <row r="61" spans="1:20" x14ac:dyDescent="0.2">
      <c r="A61" s="1">
        <v>11</v>
      </c>
      <c r="B61" s="1" t="s">
        <v>21</v>
      </c>
      <c r="C61" s="1">
        <v>29.562000000000001</v>
      </c>
      <c r="D61" s="1">
        <v>1</v>
      </c>
      <c r="E61" s="1">
        <v>5213</v>
      </c>
      <c r="F61" s="1">
        <v>3646</v>
      </c>
      <c r="I61" s="1">
        <v>94.305999999999997</v>
      </c>
      <c r="J61" s="1">
        <v>0</v>
      </c>
      <c r="M61" t="b">
        <f t="shared" si="6"/>
        <v>0</v>
      </c>
      <c r="N61">
        <f t="shared" si="1"/>
        <v>1</v>
      </c>
      <c r="O61">
        <f t="shared" si="2"/>
        <v>1</v>
      </c>
      <c r="P61">
        <f t="shared" si="7"/>
        <v>2</v>
      </c>
      <c r="R61">
        <f t="shared" si="3"/>
        <v>2</v>
      </c>
      <c r="S61">
        <f t="shared" si="4"/>
        <v>2</v>
      </c>
      <c r="T61">
        <f t="shared" si="5"/>
        <v>0</v>
      </c>
    </row>
    <row r="62" spans="1:20" x14ac:dyDescent="0.2">
      <c r="A62" s="1">
        <v>11</v>
      </c>
      <c r="B62" s="1" t="s">
        <v>21</v>
      </c>
      <c r="C62" s="1">
        <v>29.562000000000001</v>
      </c>
      <c r="D62" s="1">
        <v>0</v>
      </c>
      <c r="E62" s="1">
        <v>477</v>
      </c>
      <c r="F62" s="1">
        <v>336</v>
      </c>
      <c r="I62" s="1">
        <v>12.552</v>
      </c>
      <c r="J62" s="1">
        <v>6.8360000000000003</v>
      </c>
      <c r="M62" t="b">
        <f t="shared" si="6"/>
        <v>1</v>
      </c>
      <c r="N62">
        <f t="shared" si="1"/>
        <v>1</v>
      </c>
      <c r="O62">
        <f t="shared" si="2"/>
        <v>0</v>
      </c>
      <c r="P62">
        <f t="shared" si="7"/>
        <v>3</v>
      </c>
      <c r="R62">
        <f t="shared" si="3"/>
        <v>3</v>
      </c>
      <c r="S62">
        <f t="shared" si="4"/>
        <v>2</v>
      </c>
      <c r="T62">
        <f t="shared" si="5"/>
        <v>0</v>
      </c>
    </row>
    <row r="63" spans="1:20" x14ac:dyDescent="0.2">
      <c r="A63" s="1">
        <v>11</v>
      </c>
      <c r="B63" s="1" t="s">
        <v>21</v>
      </c>
      <c r="C63" s="1">
        <v>29.562000000000001</v>
      </c>
      <c r="D63" s="1">
        <v>0</v>
      </c>
      <c r="G63" s="1">
        <v>405</v>
      </c>
      <c r="H63" s="1">
        <v>460</v>
      </c>
      <c r="I63" s="1">
        <v>10.544</v>
      </c>
      <c r="K63" s="1">
        <v>-12.694000000000001</v>
      </c>
      <c r="M63" t="b">
        <f t="shared" si="6"/>
        <v>1</v>
      </c>
      <c r="N63">
        <f t="shared" si="1"/>
        <v>0</v>
      </c>
      <c r="O63">
        <f t="shared" si="2"/>
        <v>0</v>
      </c>
      <c r="P63">
        <f t="shared" si="7"/>
        <v>4</v>
      </c>
      <c r="R63">
        <f t="shared" si="3"/>
        <v>4</v>
      </c>
      <c r="S63">
        <f t="shared" si="4"/>
        <v>2</v>
      </c>
      <c r="T63">
        <f t="shared" si="5"/>
        <v>0</v>
      </c>
    </row>
    <row r="64" spans="1:20" x14ac:dyDescent="0.2">
      <c r="A64" s="1">
        <v>11</v>
      </c>
      <c r="B64" s="1" t="s">
        <v>21</v>
      </c>
      <c r="C64" s="1">
        <v>29.562000000000001</v>
      </c>
      <c r="D64" s="1">
        <v>0</v>
      </c>
      <c r="G64" s="1">
        <v>4204</v>
      </c>
      <c r="H64" s="1">
        <v>4834</v>
      </c>
      <c r="I64" s="1">
        <v>76.44</v>
      </c>
      <c r="K64" s="1">
        <v>0.38900000000000001</v>
      </c>
      <c r="M64" t="b">
        <f t="shared" si="6"/>
        <v>0</v>
      </c>
      <c r="N64">
        <f t="shared" si="1"/>
        <v>0</v>
      </c>
      <c r="O64">
        <f t="shared" si="2"/>
        <v>0</v>
      </c>
      <c r="P64">
        <f t="shared" si="7"/>
        <v>5</v>
      </c>
      <c r="R64">
        <f t="shared" si="3"/>
        <v>5</v>
      </c>
      <c r="S64">
        <f t="shared" si="4"/>
        <v>2</v>
      </c>
      <c r="T64">
        <f t="shared" si="5"/>
        <v>0</v>
      </c>
    </row>
    <row r="65" spans="1:20" x14ac:dyDescent="0.2">
      <c r="A65" s="1">
        <v>11</v>
      </c>
      <c r="B65" s="1" t="s">
        <v>21</v>
      </c>
      <c r="C65" s="1">
        <v>29.562000000000001</v>
      </c>
      <c r="D65" s="1">
        <v>1</v>
      </c>
      <c r="G65" s="1">
        <v>4201</v>
      </c>
      <c r="H65" s="1">
        <v>4829</v>
      </c>
      <c r="I65" s="1">
        <v>76.667000000000002</v>
      </c>
      <c r="K65" s="1">
        <v>0</v>
      </c>
      <c r="M65" t="b">
        <f t="shared" si="6"/>
        <v>0</v>
      </c>
      <c r="N65">
        <f t="shared" si="1"/>
        <v>0</v>
      </c>
      <c r="O65">
        <f t="shared" si="2"/>
        <v>1</v>
      </c>
      <c r="P65">
        <f t="shared" si="7"/>
        <v>6</v>
      </c>
      <c r="R65">
        <f t="shared" si="3"/>
        <v>6</v>
      </c>
      <c r="S65">
        <f t="shared" si="4"/>
        <v>2</v>
      </c>
      <c r="T65">
        <f t="shared" si="5"/>
        <v>0</v>
      </c>
    </row>
    <row r="66" spans="1:20" x14ac:dyDescent="0.2">
      <c r="A66" s="1">
        <v>12</v>
      </c>
      <c r="B66" s="1" t="s">
        <v>22</v>
      </c>
      <c r="C66" s="1">
        <v>29.975000000000001</v>
      </c>
      <c r="D66" s="1">
        <v>0</v>
      </c>
      <c r="E66" s="1">
        <v>5215</v>
      </c>
      <c r="F66" s="1">
        <v>3647</v>
      </c>
      <c r="I66" s="1">
        <v>94.372</v>
      </c>
      <c r="J66" s="1">
        <v>7.5999999999999998E-2</v>
      </c>
      <c r="M66" t="b">
        <f t="shared" si="6"/>
        <v>0</v>
      </c>
      <c r="N66">
        <f t="shared" si="1"/>
        <v>1</v>
      </c>
      <c r="O66">
        <f t="shared" si="2"/>
        <v>0</v>
      </c>
      <c r="P66">
        <f t="shared" si="7"/>
        <v>1</v>
      </c>
      <c r="R66">
        <f t="shared" si="3"/>
        <v>1</v>
      </c>
      <c r="S66">
        <f t="shared" si="4"/>
        <v>2</v>
      </c>
      <c r="T66">
        <f t="shared" si="5"/>
        <v>0</v>
      </c>
    </row>
    <row r="67" spans="1:20" x14ac:dyDescent="0.2">
      <c r="A67" s="1">
        <v>12</v>
      </c>
      <c r="B67" s="1" t="s">
        <v>22</v>
      </c>
      <c r="C67" s="1">
        <v>29.975000000000001</v>
      </c>
      <c r="D67" s="1">
        <v>1</v>
      </c>
      <c r="E67" s="1">
        <v>5214</v>
      </c>
      <c r="F67" s="1">
        <v>3646</v>
      </c>
      <c r="I67" s="1">
        <v>94.248999999999995</v>
      </c>
      <c r="J67" s="1">
        <v>0</v>
      </c>
      <c r="M67" t="b">
        <f t="shared" si="6"/>
        <v>0</v>
      </c>
      <c r="N67">
        <f t="shared" ref="N67:N130" si="8">IF(A67&gt;0,IF(E67&gt;0,1,0),0)</f>
        <v>1</v>
      </c>
      <c r="O67">
        <f t="shared" ref="O67:O130" si="9">D67</f>
        <v>1</v>
      </c>
      <c r="P67">
        <f t="shared" si="7"/>
        <v>2</v>
      </c>
      <c r="R67">
        <f t="shared" ref="R67:R130" si="10">IF(A67&gt;0,IF(A67=A66,R66+1,1),0)</f>
        <v>2</v>
      </c>
      <c r="S67">
        <f t="shared" si="4"/>
        <v>2</v>
      </c>
      <c r="T67">
        <f t="shared" si="5"/>
        <v>0</v>
      </c>
    </row>
    <row r="68" spans="1:20" x14ac:dyDescent="0.2">
      <c r="A68" s="1">
        <v>12</v>
      </c>
      <c r="B68" s="1" t="s">
        <v>22</v>
      </c>
      <c r="C68" s="1">
        <v>29.975000000000001</v>
      </c>
      <c r="D68" s="1">
        <v>0</v>
      </c>
      <c r="E68" s="1">
        <v>588</v>
      </c>
      <c r="F68" s="1">
        <v>414</v>
      </c>
      <c r="I68" s="1">
        <v>15.238</v>
      </c>
      <c r="J68" s="1">
        <v>6.8310000000000004</v>
      </c>
      <c r="M68" t="b">
        <f t="shared" si="6"/>
        <v>1</v>
      </c>
      <c r="N68">
        <f t="shared" si="8"/>
        <v>1</v>
      </c>
      <c r="O68">
        <f t="shared" si="9"/>
        <v>0</v>
      </c>
      <c r="P68">
        <f t="shared" si="7"/>
        <v>3</v>
      </c>
      <c r="R68">
        <f t="shared" si="10"/>
        <v>3</v>
      </c>
      <c r="S68">
        <f t="shared" ref="S68:S131" si="11">IF(A68&gt;0,IF(OR(R68=P68,P68-R68=P67-R67),S67,S67+P68-R68),0)</f>
        <v>2</v>
      </c>
      <c r="T68">
        <f t="shared" ref="T68:T131" si="12">IF(A68&gt;0,IF(AND(P68=6,P67=3,R68=4),T67+1,T67),0)</f>
        <v>0</v>
      </c>
    </row>
    <row r="69" spans="1:20" x14ac:dyDescent="0.2">
      <c r="A69" s="1">
        <v>12</v>
      </c>
      <c r="B69" s="1" t="s">
        <v>22</v>
      </c>
      <c r="C69" s="1">
        <v>29.975000000000001</v>
      </c>
      <c r="D69" s="1">
        <v>0</v>
      </c>
      <c r="G69" s="1">
        <v>524</v>
      </c>
      <c r="H69" s="1">
        <v>596</v>
      </c>
      <c r="I69" s="1">
        <v>13.678000000000001</v>
      </c>
      <c r="K69" s="1">
        <v>-13.154999999999999</v>
      </c>
      <c r="M69" t="b">
        <f t="shared" ref="M69:M132" si="13">IF(A69&gt;0,OR(AND(O69=0,O68=1,N68=1,N69=1),AND(O69=0,O71=1,N71=0)),0)</f>
        <v>1</v>
      </c>
      <c r="N69">
        <f t="shared" si="8"/>
        <v>0</v>
      </c>
      <c r="O69">
        <f t="shared" si="9"/>
        <v>0</v>
      </c>
      <c r="P69">
        <f t="shared" si="7"/>
        <v>4</v>
      </c>
      <c r="R69">
        <f t="shared" si="10"/>
        <v>4</v>
      </c>
      <c r="S69">
        <f t="shared" si="11"/>
        <v>2</v>
      </c>
      <c r="T69">
        <f t="shared" si="12"/>
        <v>0</v>
      </c>
    </row>
    <row r="70" spans="1:20" x14ac:dyDescent="0.2">
      <c r="A70" s="1">
        <v>12</v>
      </c>
      <c r="B70" s="1" t="s">
        <v>22</v>
      </c>
      <c r="C70" s="1">
        <v>29.975000000000001</v>
      </c>
      <c r="D70" s="1">
        <v>0</v>
      </c>
      <c r="G70" s="1">
        <v>4203</v>
      </c>
      <c r="H70" s="1">
        <v>4833</v>
      </c>
      <c r="I70" s="1">
        <v>76.441999999999993</v>
      </c>
      <c r="K70" s="1">
        <v>0.35199999999999998</v>
      </c>
      <c r="M70" t="b">
        <f t="shared" si="13"/>
        <v>0</v>
      </c>
      <c r="N70">
        <f t="shared" si="8"/>
        <v>0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5</v>
      </c>
      <c r="R70">
        <f t="shared" si="10"/>
        <v>5</v>
      </c>
      <c r="S70">
        <f t="shared" si="11"/>
        <v>2</v>
      </c>
      <c r="T70">
        <f t="shared" si="12"/>
        <v>0</v>
      </c>
    </row>
    <row r="71" spans="1:20" x14ac:dyDescent="0.2">
      <c r="A71" s="1">
        <v>12</v>
      </c>
      <c r="B71" s="1" t="s">
        <v>22</v>
      </c>
      <c r="C71" s="1">
        <v>29.975000000000001</v>
      </c>
      <c r="D71" s="1">
        <v>1</v>
      </c>
      <c r="G71" s="1">
        <v>4199</v>
      </c>
      <c r="H71" s="1">
        <v>4827</v>
      </c>
      <c r="I71" s="1">
        <v>76.674999999999997</v>
      </c>
      <c r="K71" s="1">
        <v>0</v>
      </c>
      <c r="M71" t="b">
        <f t="shared" si="13"/>
        <v>0</v>
      </c>
      <c r="N71">
        <f t="shared" si="8"/>
        <v>0</v>
      </c>
      <c r="O71">
        <f t="shared" si="9"/>
        <v>1</v>
      </c>
      <c r="P71">
        <f t="shared" si="14"/>
        <v>6</v>
      </c>
      <c r="R71">
        <f t="shared" si="10"/>
        <v>6</v>
      </c>
      <c r="S71">
        <f t="shared" si="11"/>
        <v>2</v>
      </c>
      <c r="T71">
        <f t="shared" si="12"/>
        <v>0</v>
      </c>
    </row>
    <row r="72" spans="1:20" x14ac:dyDescent="0.2">
      <c r="A72" s="1">
        <v>13</v>
      </c>
      <c r="B72" s="1" t="s">
        <v>23</v>
      </c>
      <c r="C72" s="1">
        <v>29.581</v>
      </c>
      <c r="D72" s="1">
        <v>0</v>
      </c>
      <c r="E72" s="1">
        <v>5212</v>
      </c>
      <c r="F72" s="1">
        <v>3645</v>
      </c>
      <c r="I72" s="1">
        <v>94.299000000000007</v>
      </c>
      <c r="J72" s="1">
        <v>7.8E-2</v>
      </c>
      <c r="M72" t="b">
        <f t="shared" si="13"/>
        <v>0</v>
      </c>
      <c r="N72">
        <f t="shared" si="8"/>
        <v>1</v>
      </c>
      <c r="O72">
        <f t="shared" si="9"/>
        <v>0</v>
      </c>
      <c r="P72">
        <f t="shared" si="14"/>
        <v>1</v>
      </c>
      <c r="R72">
        <f t="shared" si="10"/>
        <v>1</v>
      </c>
      <c r="S72">
        <f t="shared" si="11"/>
        <v>2</v>
      </c>
      <c r="T72">
        <f t="shared" si="12"/>
        <v>0</v>
      </c>
    </row>
    <row r="73" spans="1:20" x14ac:dyDescent="0.2">
      <c r="A73" s="1">
        <v>13</v>
      </c>
      <c r="B73" s="1" t="s">
        <v>23</v>
      </c>
      <c r="C73" s="1">
        <v>29.581</v>
      </c>
      <c r="D73" s="1">
        <v>1</v>
      </c>
      <c r="E73" s="1">
        <v>5208</v>
      </c>
      <c r="F73" s="1">
        <v>3641</v>
      </c>
      <c r="I73" s="1">
        <v>94.21</v>
      </c>
      <c r="J73" s="1">
        <v>0</v>
      </c>
      <c r="M73" t="b">
        <f t="shared" si="13"/>
        <v>0</v>
      </c>
      <c r="N73">
        <f t="shared" si="8"/>
        <v>1</v>
      </c>
      <c r="O73">
        <f t="shared" si="9"/>
        <v>1</v>
      </c>
      <c r="P73">
        <f t="shared" si="14"/>
        <v>2</v>
      </c>
      <c r="R73">
        <f t="shared" si="10"/>
        <v>2</v>
      </c>
      <c r="S73">
        <f t="shared" si="11"/>
        <v>2</v>
      </c>
      <c r="T73">
        <f t="shared" si="12"/>
        <v>0</v>
      </c>
    </row>
    <row r="74" spans="1:20" x14ac:dyDescent="0.2">
      <c r="A74" s="1">
        <v>13</v>
      </c>
      <c r="B74" s="1" t="s">
        <v>23</v>
      </c>
      <c r="C74" s="1">
        <v>29.581</v>
      </c>
      <c r="D74" s="1">
        <v>0</v>
      </c>
      <c r="E74" s="1">
        <v>530</v>
      </c>
      <c r="F74" s="1">
        <v>374</v>
      </c>
      <c r="I74" s="1">
        <v>13.846</v>
      </c>
      <c r="J74" s="1">
        <v>7.19</v>
      </c>
      <c r="M74" t="b">
        <f t="shared" si="13"/>
        <v>1</v>
      </c>
      <c r="N74">
        <f t="shared" si="8"/>
        <v>1</v>
      </c>
      <c r="O74">
        <f t="shared" si="9"/>
        <v>0</v>
      </c>
      <c r="P74">
        <f t="shared" si="14"/>
        <v>3</v>
      </c>
      <c r="R74">
        <f t="shared" si="10"/>
        <v>3</v>
      </c>
      <c r="S74">
        <f t="shared" si="11"/>
        <v>2</v>
      </c>
      <c r="T74">
        <f t="shared" si="12"/>
        <v>0</v>
      </c>
    </row>
    <row r="75" spans="1:20" x14ac:dyDescent="0.2">
      <c r="A75" s="1">
        <v>13</v>
      </c>
      <c r="B75" s="1" t="s">
        <v>23</v>
      </c>
      <c r="C75" s="1">
        <v>29.581</v>
      </c>
      <c r="D75" s="1">
        <v>0</v>
      </c>
      <c r="G75" s="1">
        <v>406</v>
      </c>
      <c r="H75" s="1">
        <v>462</v>
      </c>
      <c r="I75" s="1">
        <v>10.574</v>
      </c>
      <c r="K75" s="1">
        <v>-12.827</v>
      </c>
      <c r="M75" t="b">
        <f t="shared" si="13"/>
        <v>1</v>
      </c>
      <c r="N75">
        <f t="shared" si="8"/>
        <v>0</v>
      </c>
      <c r="O75">
        <f t="shared" si="9"/>
        <v>0</v>
      </c>
      <c r="P75">
        <f t="shared" si="14"/>
        <v>4</v>
      </c>
      <c r="R75">
        <f t="shared" si="10"/>
        <v>4</v>
      </c>
      <c r="S75">
        <f t="shared" si="11"/>
        <v>2</v>
      </c>
      <c r="T75">
        <f t="shared" si="12"/>
        <v>0</v>
      </c>
    </row>
    <row r="76" spans="1:20" x14ac:dyDescent="0.2">
      <c r="A76" s="1">
        <v>13</v>
      </c>
      <c r="B76" s="1" t="s">
        <v>23</v>
      </c>
      <c r="C76" s="1">
        <v>29.581</v>
      </c>
      <c r="D76" s="1">
        <v>0</v>
      </c>
      <c r="G76" s="1">
        <v>4199</v>
      </c>
      <c r="H76" s="1">
        <v>4827</v>
      </c>
      <c r="I76" s="1">
        <v>76.361999999999995</v>
      </c>
      <c r="K76" s="1">
        <v>0.32200000000000001</v>
      </c>
      <c r="M76" t="b">
        <f t="shared" si="13"/>
        <v>0</v>
      </c>
      <c r="N76">
        <f t="shared" si="8"/>
        <v>0</v>
      </c>
      <c r="O76">
        <f t="shared" si="9"/>
        <v>0</v>
      </c>
      <c r="P76">
        <f t="shared" si="14"/>
        <v>5</v>
      </c>
      <c r="R76">
        <f t="shared" si="10"/>
        <v>5</v>
      </c>
      <c r="S76">
        <f t="shared" si="11"/>
        <v>2</v>
      </c>
      <c r="T76">
        <f t="shared" si="12"/>
        <v>0</v>
      </c>
    </row>
    <row r="77" spans="1:20" x14ac:dyDescent="0.2">
      <c r="A77" s="1">
        <v>13</v>
      </c>
      <c r="B77" s="1" t="s">
        <v>23</v>
      </c>
      <c r="C77" s="1">
        <v>29.581</v>
      </c>
      <c r="D77" s="1">
        <v>1</v>
      </c>
      <c r="G77" s="1">
        <v>4195</v>
      </c>
      <c r="H77" s="1">
        <v>4822</v>
      </c>
      <c r="I77" s="1">
        <v>76.564999999999998</v>
      </c>
      <c r="K77" s="1">
        <v>0</v>
      </c>
      <c r="M77" t="b">
        <f t="shared" si="13"/>
        <v>0</v>
      </c>
      <c r="N77">
        <f t="shared" si="8"/>
        <v>0</v>
      </c>
      <c r="O77">
        <f t="shared" si="9"/>
        <v>1</v>
      </c>
      <c r="P77">
        <f t="shared" si="14"/>
        <v>6</v>
      </c>
      <c r="R77">
        <f t="shared" si="10"/>
        <v>6</v>
      </c>
      <c r="S77">
        <f t="shared" si="11"/>
        <v>2</v>
      </c>
      <c r="T77">
        <f t="shared" si="12"/>
        <v>0</v>
      </c>
    </row>
    <row r="78" spans="1:20" x14ac:dyDescent="0.2">
      <c r="A78" s="1">
        <v>14</v>
      </c>
      <c r="B78" s="1" t="s">
        <v>24</v>
      </c>
      <c r="C78" s="1">
        <v>29.577999999999999</v>
      </c>
      <c r="D78" s="1">
        <v>0</v>
      </c>
      <c r="E78" s="1">
        <v>5209</v>
      </c>
      <c r="F78" s="1">
        <v>3643</v>
      </c>
      <c r="I78" s="1">
        <v>94.311999999999998</v>
      </c>
      <c r="J78" s="1">
        <v>0.1</v>
      </c>
      <c r="M78" t="b">
        <f t="shared" si="13"/>
        <v>0</v>
      </c>
      <c r="N78">
        <f t="shared" si="8"/>
        <v>1</v>
      </c>
      <c r="O78">
        <f t="shared" si="9"/>
        <v>0</v>
      </c>
      <c r="P78">
        <f t="shared" si="14"/>
        <v>1</v>
      </c>
      <c r="R78">
        <f t="shared" si="10"/>
        <v>1</v>
      </c>
      <c r="S78">
        <f t="shared" si="11"/>
        <v>2</v>
      </c>
      <c r="T78">
        <f t="shared" si="12"/>
        <v>0</v>
      </c>
    </row>
    <row r="79" spans="1:20" x14ac:dyDescent="0.2">
      <c r="A79" s="1">
        <v>14</v>
      </c>
      <c r="B79" s="1" t="s">
        <v>24</v>
      </c>
      <c r="C79" s="1">
        <v>29.577999999999999</v>
      </c>
      <c r="D79" s="1">
        <v>1</v>
      </c>
      <c r="E79" s="1">
        <v>5208</v>
      </c>
      <c r="F79" s="1">
        <v>3642</v>
      </c>
      <c r="I79" s="1">
        <v>94.26</v>
      </c>
      <c r="J79" s="1">
        <v>0</v>
      </c>
      <c r="M79" t="b">
        <f t="shared" si="13"/>
        <v>0</v>
      </c>
      <c r="N79">
        <f t="shared" si="8"/>
        <v>1</v>
      </c>
      <c r="O79">
        <f t="shared" si="9"/>
        <v>1</v>
      </c>
      <c r="P79">
        <f t="shared" si="14"/>
        <v>2</v>
      </c>
      <c r="R79">
        <f t="shared" si="10"/>
        <v>2</v>
      </c>
      <c r="S79">
        <f t="shared" si="11"/>
        <v>2</v>
      </c>
      <c r="T79">
        <f t="shared" si="12"/>
        <v>0</v>
      </c>
    </row>
    <row r="80" spans="1:20" x14ac:dyDescent="0.2">
      <c r="A80" s="1">
        <v>14</v>
      </c>
      <c r="B80" s="1" t="s">
        <v>24</v>
      </c>
      <c r="C80" s="1">
        <v>29.577999999999999</v>
      </c>
      <c r="D80" s="1">
        <v>0</v>
      </c>
      <c r="E80" s="1">
        <v>501</v>
      </c>
      <c r="F80" s="1">
        <v>353</v>
      </c>
      <c r="I80" s="1">
        <v>13.250999999999999</v>
      </c>
      <c r="J80" s="1">
        <v>7.2930000000000001</v>
      </c>
      <c r="M80" t="b">
        <f t="shared" si="13"/>
        <v>1</v>
      </c>
      <c r="N80">
        <f t="shared" si="8"/>
        <v>1</v>
      </c>
      <c r="O80">
        <f t="shared" si="9"/>
        <v>0</v>
      </c>
      <c r="P80">
        <f t="shared" si="14"/>
        <v>3</v>
      </c>
      <c r="R80">
        <f t="shared" si="10"/>
        <v>3</v>
      </c>
      <c r="S80">
        <f t="shared" si="11"/>
        <v>2</v>
      </c>
      <c r="T80">
        <f t="shared" si="12"/>
        <v>0</v>
      </c>
    </row>
    <row r="81" spans="1:20" x14ac:dyDescent="0.2">
      <c r="A81" s="1">
        <v>14</v>
      </c>
      <c r="B81" s="1" t="s">
        <v>24</v>
      </c>
      <c r="C81" s="1">
        <v>29.577999999999999</v>
      </c>
      <c r="D81" s="1">
        <v>0</v>
      </c>
      <c r="G81" s="1">
        <v>422</v>
      </c>
      <c r="H81" s="1">
        <v>479</v>
      </c>
      <c r="I81" s="1">
        <v>11.042999999999999</v>
      </c>
      <c r="K81" s="1">
        <v>-13.164999999999999</v>
      </c>
      <c r="M81" t="b">
        <f t="shared" si="13"/>
        <v>1</v>
      </c>
      <c r="N81">
        <f t="shared" si="8"/>
        <v>0</v>
      </c>
      <c r="O81">
        <f t="shared" si="9"/>
        <v>0</v>
      </c>
      <c r="P81">
        <f t="shared" si="14"/>
        <v>4</v>
      </c>
      <c r="R81">
        <f t="shared" si="10"/>
        <v>4</v>
      </c>
      <c r="S81">
        <f t="shared" si="11"/>
        <v>2</v>
      </c>
      <c r="T81">
        <f t="shared" si="12"/>
        <v>0</v>
      </c>
    </row>
    <row r="82" spans="1:20" x14ac:dyDescent="0.2">
      <c r="A82" s="1">
        <v>14</v>
      </c>
      <c r="B82" s="1" t="s">
        <v>24</v>
      </c>
      <c r="C82" s="1">
        <v>29.577999999999999</v>
      </c>
      <c r="D82" s="1">
        <v>0</v>
      </c>
      <c r="G82" s="1">
        <v>4201</v>
      </c>
      <c r="H82" s="1">
        <v>4829</v>
      </c>
      <c r="I82" s="1">
        <v>76.412999999999997</v>
      </c>
      <c r="K82" s="1">
        <v>0.314</v>
      </c>
      <c r="M82" t="b">
        <f t="shared" si="13"/>
        <v>0</v>
      </c>
      <c r="N82">
        <f t="shared" si="8"/>
        <v>0</v>
      </c>
      <c r="O82">
        <f t="shared" si="9"/>
        <v>0</v>
      </c>
      <c r="P82">
        <f t="shared" si="14"/>
        <v>5</v>
      </c>
      <c r="R82">
        <f t="shared" si="10"/>
        <v>5</v>
      </c>
      <c r="S82">
        <f t="shared" si="11"/>
        <v>2</v>
      </c>
      <c r="T82">
        <f t="shared" si="12"/>
        <v>0</v>
      </c>
    </row>
    <row r="83" spans="1:20" x14ac:dyDescent="0.2">
      <c r="A83" s="1">
        <v>14</v>
      </c>
      <c r="B83" s="1" t="s">
        <v>24</v>
      </c>
      <c r="C83" s="1">
        <v>29.577999999999999</v>
      </c>
      <c r="D83" s="1">
        <v>1</v>
      </c>
      <c r="G83" s="1">
        <v>4199</v>
      </c>
      <c r="H83" s="1">
        <v>4827</v>
      </c>
      <c r="I83" s="1">
        <v>76.665000000000006</v>
      </c>
      <c r="K83" s="1">
        <v>0</v>
      </c>
      <c r="M83" t="b">
        <f t="shared" si="13"/>
        <v>0</v>
      </c>
      <c r="N83">
        <f t="shared" si="8"/>
        <v>0</v>
      </c>
      <c r="O83">
        <f t="shared" si="9"/>
        <v>1</v>
      </c>
      <c r="P83">
        <f t="shared" si="14"/>
        <v>6</v>
      </c>
      <c r="R83">
        <f t="shared" si="10"/>
        <v>6</v>
      </c>
      <c r="S83">
        <f t="shared" si="11"/>
        <v>2</v>
      </c>
      <c r="T83">
        <f t="shared" si="12"/>
        <v>0</v>
      </c>
    </row>
    <row r="84" spans="1:20" x14ac:dyDescent="0.2">
      <c r="A84" s="1">
        <v>15</v>
      </c>
      <c r="B84" s="1" t="s">
        <v>25</v>
      </c>
      <c r="C84" s="1">
        <v>30.375</v>
      </c>
      <c r="D84" s="1">
        <v>0</v>
      </c>
      <c r="E84" s="1">
        <v>5212</v>
      </c>
      <c r="F84" s="1">
        <v>3645</v>
      </c>
      <c r="I84" s="1">
        <v>94.375</v>
      </c>
      <c r="J84" s="1">
        <v>5.1999999999999998E-2</v>
      </c>
      <c r="M84" t="b">
        <f t="shared" si="13"/>
        <v>0</v>
      </c>
      <c r="N84">
        <f t="shared" si="8"/>
        <v>1</v>
      </c>
      <c r="O84">
        <f t="shared" si="9"/>
        <v>0</v>
      </c>
      <c r="P84">
        <f t="shared" si="14"/>
        <v>1</v>
      </c>
      <c r="R84">
        <f t="shared" si="10"/>
        <v>1</v>
      </c>
      <c r="S84">
        <f t="shared" si="11"/>
        <v>2</v>
      </c>
      <c r="T84">
        <f t="shared" si="12"/>
        <v>0</v>
      </c>
    </row>
    <row r="85" spans="1:20" x14ac:dyDescent="0.2">
      <c r="A85" s="1">
        <v>15</v>
      </c>
      <c r="B85" s="1" t="s">
        <v>25</v>
      </c>
      <c r="C85" s="1">
        <v>30.375</v>
      </c>
      <c r="D85" s="1">
        <v>1</v>
      </c>
      <c r="E85" s="1">
        <v>5209</v>
      </c>
      <c r="F85" s="1">
        <v>3643</v>
      </c>
      <c r="I85" s="1">
        <v>94.213999999999999</v>
      </c>
      <c r="J85" s="1">
        <v>0</v>
      </c>
      <c r="M85" t="b">
        <f t="shared" si="13"/>
        <v>0</v>
      </c>
      <c r="N85">
        <f t="shared" si="8"/>
        <v>1</v>
      </c>
      <c r="O85">
        <f t="shared" si="9"/>
        <v>1</v>
      </c>
      <c r="P85">
        <f t="shared" si="14"/>
        <v>2</v>
      </c>
      <c r="R85">
        <f t="shared" si="10"/>
        <v>2</v>
      </c>
      <c r="S85">
        <f t="shared" si="11"/>
        <v>2</v>
      </c>
      <c r="T85">
        <f t="shared" si="12"/>
        <v>0</v>
      </c>
    </row>
    <row r="86" spans="1:20" x14ac:dyDescent="0.2">
      <c r="A86" s="1">
        <v>15</v>
      </c>
      <c r="B86" s="1" t="s">
        <v>25</v>
      </c>
      <c r="C86" s="1">
        <v>30.375</v>
      </c>
      <c r="D86" s="1">
        <v>0</v>
      </c>
      <c r="E86" s="1">
        <v>709</v>
      </c>
      <c r="F86" s="1">
        <v>499</v>
      </c>
      <c r="I86" s="1">
        <v>18.254000000000001</v>
      </c>
      <c r="J86" s="1">
        <v>6.4409999999999998</v>
      </c>
      <c r="M86" t="b">
        <f t="shared" si="13"/>
        <v>1</v>
      </c>
      <c r="N86">
        <f t="shared" si="8"/>
        <v>1</v>
      </c>
      <c r="O86">
        <f t="shared" si="9"/>
        <v>0</v>
      </c>
      <c r="P86">
        <f t="shared" si="14"/>
        <v>3</v>
      </c>
      <c r="R86">
        <f t="shared" si="10"/>
        <v>3</v>
      </c>
      <c r="S86">
        <f t="shared" si="11"/>
        <v>2</v>
      </c>
      <c r="T86">
        <f t="shared" si="12"/>
        <v>0</v>
      </c>
    </row>
    <row r="87" spans="1:20" x14ac:dyDescent="0.2">
      <c r="A87" s="1">
        <v>15</v>
      </c>
      <c r="B87" s="1" t="s">
        <v>25</v>
      </c>
      <c r="C87" s="1">
        <v>30.375</v>
      </c>
      <c r="D87" s="1">
        <v>0</v>
      </c>
      <c r="G87" s="1">
        <v>928</v>
      </c>
      <c r="H87" s="1">
        <v>1054</v>
      </c>
      <c r="I87" s="1">
        <v>24.433</v>
      </c>
      <c r="K87" s="1">
        <v>-14.603999999999999</v>
      </c>
      <c r="M87" t="b">
        <f t="shared" si="13"/>
        <v>1</v>
      </c>
      <c r="N87">
        <f t="shared" si="8"/>
        <v>0</v>
      </c>
      <c r="O87">
        <f t="shared" si="9"/>
        <v>0</v>
      </c>
      <c r="P87">
        <f t="shared" si="14"/>
        <v>4</v>
      </c>
      <c r="R87">
        <f t="shared" si="10"/>
        <v>4</v>
      </c>
      <c r="S87">
        <f t="shared" si="11"/>
        <v>2</v>
      </c>
      <c r="T87">
        <f t="shared" si="12"/>
        <v>0</v>
      </c>
    </row>
    <row r="88" spans="1:20" x14ac:dyDescent="0.2">
      <c r="A88" s="1">
        <v>15</v>
      </c>
      <c r="B88" s="1" t="s">
        <v>25</v>
      </c>
      <c r="C88" s="1">
        <v>30.375</v>
      </c>
      <c r="D88" s="1">
        <v>0</v>
      </c>
      <c r="G88" s="1">
        <v>4204</v>
      </c>
      <c r="H88" s="1">
        <v>4833</v>
      </c>
      <c r="I88" s="1">
        <v>76.471999999999994</v>
      </c>
      <c r="K88" s="1">
        <v>0.34100000000000003</v>
      </c>
      <c r="M88" t="b">
        <f t="shared" si="13"/>
        <v>0</v>
      </c>
      <c r="N88">
        <f t="shared" si="8"/>
        <v>0</v>
      </c>
      <c r="O88">
        <f t="shared" si="9"/>
        <v>0</v>
      </c>
      <c r="P88">
        <f t="shared" si="14"/>
        <v>5</v>
      </c>
      <c r="R88">
        <f t="shared" si="10"/>
        <v>5</v>
      </c>
      <c r="S88">
        <f t="shared" si="11"/>
        <v>2</v>
      </c>
      <c r="T88">
        <f t="shared" si="12"/>
        <v>0</v>
      </c>
    </row>
    <row r="89" spans="1:20" x14ac:dyDescent="0.2">
      <c r="A89" s="1">
        <v>15</v>
      </c>
      <c r="B89" s="1" t="s">
        <v>25</v>
      </c>
      <c r="C89" s="1">
        <v>30.375</v>
      </c>
      <c r="D89" s="1">
        <v>1</v>
      </c>
      <c r="G89" s="1">
        <v>4202</v>
      </c>
      <c r="H89" s="1">
        <v>4830</v>
      </c>
      <c r="I89" s="1">
        <v>76.721999999999994</v>
      </c>
      <c r="K89" s="1">
        <v>0</v>
      </c>
      <c r="M89" t="b">
        <f t="shared" si="13"/>
        <v>0</v>
      </c>
      <c r="N89">
        <f t="shared" si="8"/>
        <v>0</v>
      </c>
      <c r="O89">
        <f t="shared" si="9"/>
        <v>1</v>
      </c>
      <c r="P89">
        <f t="shared" si="14"/>
        <v>6</v>
      </c>
      <c r="R89">
        <f t="shared" si="10"/>
        <v>6</v>
      </c>
      <c r="S89">
        <f t="shared" si="11"/>
        <v>2</v>
      </c>
      <c r="T89">
        <f t="shared" si="12"/>
        <v>0</v>
      </c>
    </row>
    <row r="90" spans="1:20" x14ac:dyDescent="0.2">
      <c r="A90" s="1">
        <v>16</v>
      </c>
      <c r="B90" s="1" t="s">
        <v>26</v>
      </c>
      <c r="C90" s="1">
        <v>29.495000000000001</v>
      </c>
      <c r="D90" s="1">
        <v>0</v>
      </c>
      <c r="E90" s="1">
        <v>5214</v>
      </c>
      <c r="F90" s="1">
        <v>3646</v>
      </c>
      <c r="I90" s="1">
        <v>94.278000000000006</v>
      </c>
      <c r="J90" s="1">
        <v>8.1000000000000003E-2</v>
      </c>
      <c r="M90" t="b">
        <f t="shared" si="13"/>
        <v>0</v>
      </c>
      <c r="N90">
        <f t="shared" si="8"/>
        <v>1</v>
      </c>
      <c r="O90">
        <f t="shared" si="9"/>
        <v>0</v>
      </c>
      <c r="P90">
        <f t="shared" si="14"/>
        <v>1</v>
      </c>
      <c r="R90">
        <f t="shared" si="10"/>
        <v>1</v>
      </c>
      <c r="S90">
        <f t="shared" si="11"/>
        <v>2</v>
      </c>
      <c r="T90">
        <f t="shared" si="12"/>
        <v>0</v>
      </c>
    </row>
    <row r="91" spans="1:20" x14ac:dyDescent="0.2">
      <c r="A91" s="1">
        <v>16</v>
      </c>
      <c r="B91" s="1" t="s">
        <v>26</v>
      </c>
      <c r="C91" s="1">
        <v>29.495000000000001</v>
      </c>
      <c r="D91" s="1">
        <v>1</v>
      </c>
      <c r="E91" s="1">
        <v>5211</v>
      </c>
      <c r="F91" s="1">
        <v>3645</v>
      </c>
      <c r="I91" s="1">
        <v>94.289000000000001</v>
      </c>
      <c r="J91" s="1">
        <v>0</v>
      </c>
      <c r="M91" t="b">
        <f t="shared" si="13"/>
        <v>0</v>
      </c>
      <c r="N91">
        <f t="shared" si="8"/>
        <v>1</v>
      </c>
      <c r="O91">
        <f t="shared" si="9"/>
        <v>1</v>
      </c>
      <c r="P91">
        <f t="shared" si="14"/>
        <v>2</v>
      </c>
      <c r="R91">
        <f t="shared" si="10"/>
        <v>2</v>
      </c>
      <c r="S91">
        <f t="shared" si="11"/>
        <v>2</v>
      </c>
      <c r="T91">
        <f t="shared" si="12"/>
        <v>0</v>
      </c>
    </row>
    <row r="92" spans="1:20" x14ac:dyDescent="0.2">
      <c r="A92" s="1">
        <v>16</v>
      </c>
      <c r="B92" s="1" t="s">
        <v>26</v>
      </c>
      <c r="C92" s="1">
        <v>29.495000000000001</v>
      </c>
      <c r="D92" s="1">
        <v>0</v>
      </c>
      <c r="E92" s="1">
        <v>560</v>
      </c>
      <c r="F92" s="1">
        <v>395</v>
      </c>
      <c r="I92" s="1">
        <v>14.582000000000001</v>
      </c>
      <c r="J92" s="1">
        <v>7.0019999999999998</v>
      </c>
      <c r="M92" t="b">
        <f t="shared" si="13"/>
        <v>1</v>
      </c>
      <c r="N92">
        <f t="shared" si="8"/>
        <v>1</v>
      </c>
      <c r="O92">
        <f t="shared" si="9"/>
        <v>0</v>
      </c>
      <c r="P92">
        <f t="shared" si="14"/>
        <v>3</v>
      </c>
      <c r="R92">
        <f t="shared" si="10"/>
        <v>3</v>
      </c>
      <c r="S92">
        <f t="shared" si="11"/>
        <v>2</v>
      </c>
      <c r="T92">
        <f t="shared" si="12"/>
        <v>0</v>
      </c>
    </row>
    <row r="93" spans="1:20" x14ac:dyDescent="0.2">
      <c r="A93" s="1">
        <v>16</v>
      </c>
      <c r="B93" s="1" t="s">
        <v>26</v>
      </c>
      <c r="C93" s="1">
        <v>29.495000000000001</v>
      </c>
      <c r="D93" s="1">
        <v>0</v>
      </c>
      <c r="G93" s="1">
        <v>483</v>
      </c>
      <c r="H93" s="1">
        <v>551</v>
      </c>
      <c r="I93" s="1">
        <v>12.545</v>
      </c>
      <c r="K93" s="1">
        <v>-9.5960000000000001</v>
      </c>
      <c r="M93" t="b">
        <f t="shared" si="13"/>
        <v>1</v>
      </c>
      <c r="N93">
        <f t="shared" si="8"/>
        <v>0</v>
      </c>
      <c r="O93">
        <f t="shared" si="9"/>
        <v>0</v>
      </c>
      <c r="P93">
        <f t="shared" si="14"/>
        <v>4</v>
      </c>
      <c r="R93">
        <f t="shared" si="10"/>
        <v>4</v>
      </c>
      <c r="S93">
        <f t="shared" si="11"/>
        <v>2</v>
      </c>
      <c r="T93">
        <f t="shared" si="12"/>
        <v>0</v>
      </c>
    </row>
    <row r="94" spans="1:20" x14ac:dyDescent="0.2">
      <c r="A94" s="1">
        <v>16</v>
      </c>
      <c r="B94" s="1" t="s">
        <v>26</v>
      </c>
      <c r="C94" s="1">
        <v>29.495000000000001</v>
      </c>
      <c r="D94" s="1">
        <v>0</v>
      </c>
      <c r="G94" s="1">
        <v>4204</v>
      </c>
      <c r="H94" s="1">
        <v>4834</v>
      </c>
      <c r="I94" s="1">
        <v>76.451999999999998</v>
      </c>
      <c r="K94" s="1">
        <v>0.31900000000000001</v>
      </c>
      <c r="M94" t="b">
        <f t="shared" si="13"/>
        <v>0</v>
      </c>
      <c r="N94">
        <f t="shared" si="8"/>
        <v>0</v>
      </c>
      <c r="O94">
        <f t="shared" si="9"/>
        <v>0</v>
      </c>
      <c r="P94">
        <f t="shared" si="14"/>
        <v>5</v>
      </c>
      <c r="R94">
        <f t="shared" si="10"/>
        <v>5</v>
      </c>
      <c r="S94">
        <f t="shared" si="11"/>
        <v>2</v>
      </c>
      <c r="T94">
        <f t="shared" si="12"/>
        <v>0</v>
      </c>
    </row>
    <row r="95" spans="1:20" x14ac:dyDescent="0.2">
      <c r="A95" s="1">
        <v>16</v>
      </c>
      <c r="B95" s="1" t="s">
        <v>26</v>
      </c>
      <c r="C95" s="1">
        <v>29.495000000000001</v>
      </c>
      <c r="D95" s="1">
        <v>1</v>
      </c>
      <c r="G95" s="1">
        <v>4201</v>
      </c>
      <c r="H95" s="1">
        <v>4829</v>
      </c>
      <c r="I95" s="1">
        <v>76.698999999999998</v>
      </c>
      <c r="K95" s="1">
        <v>0</v>
      </c>
      <c r="M95" t="b">
        <f t="shared" si="13"/>
        <v>0</v>
      </c>
      <c r="N95">
        <f t="shared" si="8"/>
        <v>0</v>
      </c>
      <c r="O95">
        <f t="shared" si="9"/>
        <v>1</v>
      </c>
      <c r="P95">
        <f t="shared" si="14"/>
        <v>6</v>
      </c>
      <c r="R95">
        <f t="shared" si="10"/>
        <v>6</v>
      </c>
      <c r="S95">
        <f t="shared" si="11"/>
        <v>2</v>
      </c>
      <c r="T95">
        <f t="shared" si="12"/>
        <v>0</v>
      </c>
    </row>
    <row r="96" spans="1:20" x14ac:dyDescent="0.2">
      <c r="A96" s="1">
        <v>17</v>
      </c>
      <c r="B96" s="1" t="s">
        <v>27</v>
      </c>
      <c r="C96" s="1">
        <v>30.132999999999999</v>
      </c>
      <c r="D96" s="1">
        <v>0</v>
      </c>
      <c r="E96" s="1">
        <v>5215</v>
      </c>
      <c r="F96" s="1">
        <v>3647</v>
      </c>
      <c r="I96" s="1">
        <v>94.411000000000001</v>
      </c>
      <c r="J96" s="1">
        <v>7.0000000000000007E-2</v>
      </c>
      <c r="M96" t="b">
        <f t="shared" si="13"/>
        <v>0</v>
      </c>
      <c r="N96">
        <f t="shared" si="8"/>
        <v>1</v>
      </c>
      <c r="O96">
        <f t="shared" si="9"/>
        <v>0</v>
      </c>
      <c r="P96">
        <f t="shared" si="14"/>
        <v>1</v>
      </c>
      <c r="R96">
        <f t="shared" si="10"/>
        <v>1</v>
      </c>
      <c r="S96">
        <f t="shared" si="11"/>
        <v>2</v>
      </c>
      <c r="T96">
        <f t="shared" si="12"/>
        <v>0</v>
      </c>
    </row>
    <row r="97" spans="1:20" x14ac:dyDescent="0.2">
      <c r="A97" s="1">
        <v>17</v>
      </c>
      <c r="B97" s="1" t="s">
        <v>27</v>
      </c>
      <c r="C97" s="1">
        <v>30.132999999999999</v>
      </c>
      <c r="D97" s="1">
        <v>1</v>
      </c>
      <c r="E97" s="1">
        <v>5211</v>
      </c>
      <c r="F97" s="1">
        <v>3644</v>
      </c>
      <c r="I97" s="1">
        <v>94.188999999999993</v>
      </c>
      <c r="J97" s="1">
        <v>0</v>
      </c>
      <c r="M97" t="b">
        <f t="shared" si="13"/>
        <v>0</v>
      </c>
      <c r="N97">
        <f t="shared" si="8"/>
        <v>1</v>
      </c>
      <c r="O97">
        <f t="shared" si="9"/>
        <v>1</v>
      </c>
      <c r="P97">
        <f t="shared" si="14"/>
        <v>2</v>
      </c>
      <c r="R97">
        <f t="shared" si="10"/>
        <v>2</v>
      </c>
      <c r="S97">
        <f t="shared" si="11"/>
        <v>2</v>
      </c>
      <c r="T97">
        <f t="shared" si="12"/>
        <v>0</v>
      </c>
    </row>
    <row r="98" spans="1:20" x14ac:dyDescent="0.2">
      <c r="A98" s="1">
        <v>17</v>
      </c>
      <c r="B98" s="1" t="s">
        <v>27</v>
      </c>
      <c r="C98" s="1">
        <v>30.132999999999999</v>
      </c>
      <c r="D98" s="1">
        <v>0</v>
      </c>
      <c r="E98" s="1">
        <v>641</v>
      </c>
      <c r="F98" s="1">
        <v>452</v>
      </c>
      <c r="I98" s="1">
        <v>16.751999999999999</v>
      </c>
      <c r="J98" s="1">
        <v>7.42</v>
      </c>
      <c r="M98" t="b">
        <f t="shared" si="13"/>
        <v>1</v>
      </c>
      <c r="N98">
        <f t="shared" si="8"/>
        <v>1</v>
      </c>
      <c r="O98">
        <f t="shared" si="9"/>
        <v>0</v>
      </c>
      <c r="P98">
        <f t="shared" si="14"/>
        <v>3</v>
      </c>
      <c r="R98">
        <f t="shared" si="10"/>
        <v>3</v>
      </c>
      <c r="S98">
        <f t="shared" si="11"/>
        <v>2</v>
      </c>
      <c r="T98">
        <f t="shared" si="12"/>
        <v>0</v>
      </c>
    </row>
    <row r="99" spans="1:20" x14ac:dyDescent="0.2">
      <c r="A99" s="1">
        <v>17</v>
      </c>
      <c r="B99" s="1" t="s">
        <v>27</v>
      </c>
      <c r="C99" s="1">
        <v>30.132999999999999</v>
      </c>
      <c r="D99" s="1">
        <v>0</v>
      </c>
      <c r="G99" s="1">
        <v>555</v>
      </c>
      <c r="H99" s="1">
        <v>631</v>
      </c>
      <c r="I99" s="1">
        <v>14.538</v>
      </c>
      <c r="K99" s="1">
        <v>-12.852</v>
      </c>
      <c r="M99" t="b">
        <f t="shared" si="13"/>
        <v>1</v>
      </c>
      <c r="N99">
        <f t="shared" si="8"/>
        <v>0</v>
      </c>
      <c r="O99">
        <f t="shared" si="9"/>
        <v>0</v>
      </c>
      <c r="P99">
        <f t="shared" si="14"/>
        <v>4</v>
      </c>
      <c r="R99">
        <f t="shared" si="10"/>
        <v>4</v>
      </c>
      <c r="S99">
        <f t="shared" si="11"/>
        <v>2</v>
      </c>
      <c r="T99">
        <f t="shared" si="12"/>
        <v>0</v>
      </c>
    </row>
    <row r="100" spans="1:20" x14ac:dyDescent="0.2">
      <c r="A100" s="1">
        <v>17</v>
      </c>
      <c r="B100" s="1" t="s">
        <v>27</v>
      </c>
      <c r="C100" s="1">
        <v>30.132999999999999</v>
      </c>
      <c r="D100" s="1">
        <v>0</v>
      </c>
      <c r="G100" s="1">
        <v>4201</v>
      </c>
      <c r="H100" s="1">
        <v>4831</v>
      </c>
      <c r="I100" s="1">
        <v>76.397999999999996</v>
      </c>
      <c r="K100" s="1">
        <v>0.33700000000000002</v>
      </c>
      <c r="M100" t="b">
        <f t="shared" si="13"/>
        <v>0</v>
      </c>
      <c r="N100">
        <f t="shared" si="8"/>
        <v>0</v>
      </c>
      <c r="O100">
        <f t="shared" si="9"/>
        <v>0</v>
      </c>
      <c r="P100">
        <f t="shared" si="14"/>
        <v>5</v>
      </c>
      <c r="R100">
        <f t="shared" si="10"/>
        <v>5</v>
      </c>
      <c r="S100">
        <f t="shared" si="11"/>
        <v>2</v>
      </c>
      <c r="T100">
        <f t="shared" si="12"/>
        <v>0</v>
      </c>
    </row>
    <row r="101" spans="1:20" x14ac:dyDescent="0.2">
      <c r="A101" s="1">
        <v>17</v>
      </c>
      <c r="B101" s="1" t="s">
        <v>27</v>
      </c>
      <c r="C101" s="1">
        <v>30.132999999999999</v>
      </c>
      <c r="D101" s="1">
        <v>1</v>
      </c>
      <c r="G101" s="1">
        <v>4198</v>
      </c>
      <c r="H101" s="1">
        <v>4825</v>
      </c>
      <c r="I101" s="1">
        <v>76.620999999999995</v>
      </c>
      <c r="K101" s="1">
        <v>0</v>
      </c>
      <c r="M101" t="b">
        <f t="shared" si="13"/>
        <v>0</v>
      </c>
      <c r="N101">
        <f t="shared" si="8"/>
        <v>0</v>
      </c>
      <c r="O101">
        <f t="shared" si="9"/>
        <v>1</v>
      </c>
      <c r="P101">
        <f t="shared" si="14"/>
        <v>6</v>
      </c>
      <c r="R101">
        <f t="shared" si="10"/>
        <v>6</v>
      </c>
      <c r="S101">
        <f t="shared" si="11"/>
        <v>2</v>
      </c>
      <c r="T101">
        <f t="shared" si="12"/>
        <v>0</v>
      </c>
    </row>
    <row r="102" spans="1:20" x14ac:dyDescent="0.2">
      <c r="A102" s="1">
        <v>18</v>
      </c>
      <c r="B102" s="1" t="s">
        <v>28</v>
      </c>
      <c r="C102" s="1">
        <v>30.187999999999999</v>
      </c>
      <c r="D102" s="1">
        <v>0</v>
      </c>
      <c r="E102" s="1">
        <v>5211</v>
      </c>
      <c r="F102" s="1">
        <v>3644</v>
      </c>
      <c r="I102" s="1">
        <v>94.225999999999999</v>
      </c>
      <c r="J102" s="1">
        <v>6.7000000000000004E-2</v>
      </c>
      <c r="M102" t="b">
        <f t="shared" si="13"/>
        <v>0</v>
      </c>
      <c r="N102">
        <f t="shared" si="8"/>
        <v>1</v>
      </c>
      <c r="O102">
        <f t="shared" si="9"/>
        <v>0</v>
      </c>
      <c r="P102">
        <f t="shared" si="14"/>
        <v>1</v>
      </c>
      <c r="R102">
        <f t="shared" si="10"/>
        <v>1</v>
      </c>
      <c r="S102">
        <f t="shared" si="11"/>
        <v>2</v>
      </c>
      <c r="T102">
        <f t="shared" si="12"/>
        <v>0</v>
      </c>
    </row>
    <row r="103" spans="1:20" x14ac:dyDescent="0.2">
      <c r="A103" s="1">
        <v>18</v>
      </c>
      <c r="B103" s="1" t="s">
        <v>28</v>
      </c>
      <c r="C103" s="1">
        <v>30.187999999999999</v>
      </c>
      <c r="D103" s="1">
        <v>1</v>
      </c>
      <c r="E103" s="1">
        <v>5209</v>
      </c>
      <c r="F103" s="1">
        <v>3643</v>
      </c>
      <c r="I103" s="1">
        <v>94.195999999999998</v>
      </c>
      <c r="J103" s="1">
        <v>0</v>
      </c>
      <c r="M103" t="b">
        <f t="shared" si="13"/>
        <v>0</v>
      </c>
      <c r="N103">
        <f t="shared" si="8"/>
        <v>1</v>
      </c>
      <c r="O103">
        <f t="shared" si="9"/>
        <v>1</v>
      </c>
      <c r="P103">
        <f t="shared" si="14"/>
        <v>2</v>
      </c>
      <c r="R103">
        <f t="shared" si="10"/>
        <v>2</v>
      </c>
      <c r="S103">
        <f t="shared" si="11"/>
        <v>2</v>
      </c>
      <c r="T103">
        <f t="shared" si="12"/>
        <v>0</v>
      </c>
    </row>
    <row r="104" spans="1:20" x14ac:dyDescent="0.2">
      <c r="A104" s="1">
        <v>18</v>
      </c>
      <c r="B104" s="1" t="s">
        <v>28</v>
      </c>
      <c r="C104" s="1">
        <v>30.187999999999999</v>
      </c>
      <c r="D104" s="1">
        <v>0</v>
      </c>
      <c r="E104" s="1">
        <v>539</v>
      </c>
      <c r="F104" s="1">
        <v>380</v>
      </c>
      <c r="I104" s="1">
        <v>14.268000000000001</v>
      </c>
      <c r="J104" s="1">
        <v>7.1769999999999996</v>
      </c>
      <c r="M104" t="b">
        <f t="shared" si="13"/>
        <v>1</v>
      </c>
      <c r="N104">
        <f t="shared" si="8"/>
        <v>1</v>
      </c>
      <c r="O104">
        <f t="shared" si="9"/>
        <v>0</v>
      </c>
      <c r="P104">
        <f t="shared" si="14"/>
        <v>3</v>
      </c>
      <c r="R104">
        <f t="shared" si="10"/>
        <v>3</v>
      </c>
      <c r="S104">
        <f t="shared" si="11"/>
        <v>2</v>
      </c>
      <c r="T104">
        <f t="shared" si="12"/>
        <v>0</v>
      </c>
    </row>
    <row r="105" spans="1:20" x14ac:dyDescent="0.2">
      <c r="A105" s="1">
        <v>18</v>
      </c>
      <c r="B105" s="1" t="s">
        <v>28</v>
      </c>
      <c r="C105" s="1">
        <v>30.187999999999999</v>
      </c>
      <c r="D105" s="1">
        <v>0</v>
      </c>
      <c r="G105" s="1">
        <v>407</v>
      </c>
      <c r="H105" s="1">
        <v>464</v>
      </c>
      <c r="I105" s="1">
        <v>10.651</v>
      </c>
      <c r="K105" s="1">
        <v>-11.178000000000001</v>
      </c>
      <c r="M105" t="b">
        <f t="shared" si="13"/>
        <v>1</v>
      </c>
      <c r="N105">
        <f t="shared" si="8"/>
        <v>0</v>
      </c>
      <c r="O105">
        <f t="shared" si="9"/>
        <v>0</v>
      </c>
      <c r="P105">
        <f t="shared" si="14"/>
        <v>4</v>
      </c>
      <c r="R105">
        <f t="shared" si="10"/>
        <v>4</v>
      </c>
      <c r="S105">
        <f t="shared" si="11"/>
        <v>2</v>
      </c>
      <c r="T105">
        <f t="shared" si="12"/>
        <v>0</v>
      </c>
    </row>
    <row r="106" spans="1:20" x14ac:dyDescent="0.2">
      <c r="A106" s="1">
        <v>18</v>
      </c>
      <c r="B106" s="1" t="s">
        <v>28</v>
      </c>
      <c r="C106" s="1">
        <v>30.187999999999999</v>
      </c>
      <c r="D106" s="1">
        <v>0</v>
      </c>
      <c r="G106" s="1">
        <v>4203</v>
      </c>
      <c r="H106" s="1">
        <v>4833</v>
      </c>
      <c r="I106" s="1">
        <v>76.381</v>
      </c>
      <c r="K106" s="1">
        <v>0.316</v>
      </c>
      <c r="M106" t="b">
        <f t="shared" si="13"/>
        <v>0</v>
      </c>
      <c r="N106">
        <f t="shared" si="8"/>
        <v>0</v>
      </c>
      <c r="O106">
        <f t="shared" si="9"/>
        <v>0</v>
      </c>
      <c r="P106">
        <f t="shared" si="14"/>
        <v>5</v>
      </c>
      <c r="R106">
        <f t="shared" si="10"/>
        <v>5</v>
      </c>
      <c r="S106">
        <f t="shared" si="11"/>
        <v>2</v>
      </c>
      <c r="T106">
        <f t="shared" si="12"/>
        <v>0</v>
      </c>
    </row>
    <row r="107" spans="1:20" x14ac:dyDescent="0.2">
      <c r="A107" s="1">
        <v>18</v>
      </c>
      <c r="B107" s="1" t="s">
        <v>28</v>
      </c>
      <c r="C107" s="1">
        <v>30.187999999999999</v>
      </c>
      <c r="D107" s="1">
        <v>1</v>
      </c>
      <c r="G107" s="1">
        <v>4202</v>
      </c>
      <c r="H107" s="1">
        <v>4830</v>
      </c>
      <c r="I107" s="1">
        <v>76.715000000000003</v>
      </c>
      <c r="K107" s="1">
        <v>0</v>
      </c>
      <c r="M107" t="b">
        <f t="shared" si="13"/>
        <v>0</v>
      </c>
      <c r="N107">
        <f t="shared" si="8"/>
        <v>0</v>
      </c>
      <c r="O107">
        <f t="shared" si="9"/>
        <v>1</v>
      </c>
      <c r="P107">
        <f t="shared" si="14"/>
        <v>6</v>
      </c>
      <c r="R107">
        <f t="shared" si="10"/>
        <v>6</v>
      </c>
      <c r="S107">
        <f t="shared" si="11"/>
        <v>2</v>
      </c>
      <c r="T107">
        <f t="shared" si="12"/>
        <v>0</v>
      </c>
    </row>
    <row r="108" spans="1:20" x14ac:dyDescent="0.2">
      <c r="A108" s="1">
        <v>19</v>
      </c>
      <c r="B108" s="1" t="s">
        <v>29</v>
      </c>
      <c r="C108" s="1">
        <v>3.0314999999999999</v>
      </c>
      <c r="D108" s="1">
        <v>0</v>
      </c>
      <c r="E108" s="1">
        <v>5216</v>
      </c>
      <c r="F108" s="1">
        <v>3648</v>
      </c>
      <c r="I108" s="1">
        <v>94.332999999999998</v>
      </c>
      <c r="J108" s="1">
        <v>9.9000000000000005E-2</v>
      </c>
      <c r="M108" t="b">
        <f t="shared" si="13"/>
        <v>0</v>
      </c>
      <c r="N108">
        <f t="shared" si="8"/>
        <v>1</v>
      </c>
      <c r="O108">
        <f t="shared" si="9"/>
        <v>0</v>
      </c>
      <c r="P108">
        <f t="shared" si="14"/>
        <v>1</v>
      </c>
      <c r="R108">
        <f t="shared" si="10"/>
        <v>1</v>
      </c>
      <c r="S108">
        <f t="shared" si="11"/>
        <v>2</v>
      </c>
      <c r="T108">
        <f t="shared" si="12"/>
        <v>0</v>
      </c>
    </row>
    <row r="109" spans="1:20" x14ac:dyDescent="0.2">
      <c r="A109" s="1">
        <v>19</v>
      </c>
      <c r="B109" s="1" t="s">
        <v>29</v>
      </c>
      <c r="C109" s="1">
        <v>3.0314999999999999</v>
      </c>
      <c r="D109" s="1">
        <v>1</v>
      </c>
      <c r="E109" s="1">
        <v>5211</v>
      </c>
      <c r="F109" s="1">
        <v>3644</v>
      </c>
      <c r="I109" s="1">
        <v>94.238</v>
      </c>
      <c r="J109" s="1">
        <v>0</v>
      </c>
      <c r="M109" t="b">
        <f t="shared" si="13"/>
        <v>0</v>
      </c>
      <c r="N109">
        <f t="shared" si="8"/>
        <v>1</v>
      </c>
      <c r="O109">
        <f t="shared" si="9"/>
        <v>1</v>
      </c>
      <c r="P109">
        <f t="shared" si="14"/>
        <v>2</v>
      </c>
      <c r="R109">
        <f t="shared" si="10"/>
        <v>2</v>
      </c>
      <c r="S109">
        <f t="shared" si="11"/>
        <v>2</v>
      </c>
      <c r="T109">
        <f t="shared" si="12"/>
        <v>0</v>
      </c>
    </row>
    <row r="110" spans="1:20" x14ac:dyDescent="0.2">
      <c r="A110" s="1">
        <v>19</v>
      </c>
      <c r="B110" s="1" t="s">
        <v>29</v>
      </c>
      <c r="C110" s="1">
        <v>3.0314999999999999</v>
      </c>
      <c r="D110" s="1">
        <v>0</v>
      </c>
      <c r="E110" s="1">
        <v>554</v>
      </c>
      <c r="F110" s="1">
        <v>390</v>
      </c>
      <c r="I110" s="1">
        <v>14.486000000000001</v>
      </c>
      <c r="J110" s="1">
        <v>7.64</v>
      </c>
      <c r="M110" t="b">
        <f t="shared" si="13"/>
        <v>1</v>
      </c>
      <c r="N110">
        <f t="shared" si="8"/>
        <v>1</v>
      </c>
      <c r="O110">
        <f t="shared" si="9"/>
        <v>0</v>
      </c>
      <c r="P110">
        <f t="shared" si="14"/>
        <v>3</v>
      </c>
      <c r="R110">
        <f t="shared" si="10"/>
        <v>3</v>
      </c>
      <c r="S110">
        <f t="shared" si="11"/>
        <v>2</v>
      </c>
      <c r="T110">
        <f t="shared" si="12"/>
        <v>0</v>
      </c>
    </row>
    <row r="111" spans="1:20" x14ac:dyDescent="0.2">
      <c r="A111" s="1">
        <v>19</v>
      </c>
      <c r="B111" s="1" t="s">
        <v>29</v>
      </c>
      <c r="C111" s="1">
        <v>3.0314999999999999</v>
      </c>
      <c r="D111" s="1">
        <v>0</v>
      </c>
      <c r="G111" s="1">
        <v>457</v>
      </c>
      <c r="H111" s="1">
        <v>519</v>
      </c>
      <c r="I111" s="1">
        <v>11.907</v>
      </c>
      <c r="K111" s="1">
        <v>-12.997</v>
      </c>
      <c r="M111" t="b">
        <f t="shared" si="13"/>
        <v>1</v>
      </c>
      <c r="N111">
        <f t="shared" si="8"/>
        <v>0</v>
      </c>
      <c r="O111">
        <f t="shared" si="9"/>
        <v>0</v>
      </c>
      <c r="P111">
        <f t="shared" si="14"/>
        <v>4</v>
      </c>
      <c r="R111">
        <f t="shared" si="10"/>
        <v>4</v>
      </c>
      <c r="S111">
        <f t="shared" si="11"/>
        <v>2</v>
      </c>
      <c r="T111">
        <f t="shared" si="12"/>
        <v>0</v>
      </c>
    </row>
    <row r="112" spans="1:20" x14ac:dyDescent="0.2">
      <c r="A112" s="1">
        <v>19</v>
      </c>
      <c r="B112" s="1" t="s">
        <v>29</v>
      </c>
      <c r="C112" s="1">
        <v>3.0314999999999999</v>
      </c>
      <c r="D112" s="1">
        <v>0</v>
      </c>
      <c r="G112" s="1">
        <v>4204</v>
      </c>
      <c r="H112" s="1">
        <v>4834</v>
      </c>
      <c r="I112" s="1">
        <v>76.430999999999997</v>
      </c>
      <c r="K112" s="1">
        <v>0.35799999999999998</v>
      </c>
      <c r="M112" t="b">
        <f t="shared" si="13"/>
        <v>0</v>
      </c>
      <c r="N112">
        <f t="shared" si="8"/>
        <v>0</v>
      </c>
      <c r="O112">
        <f t="shared" si="9"/>
        <v>0</v>
      </c>
      <c r="P112">
        <f t="shared" si="14"/>
        <v>5</v>
      </c>
      <c r="R112">
        <f t="shared" si="10"/>
        <v>5</v>
      </c>
      <c r="S112">
        <f t="shared" si="11"/>
        <v>2</v>
      </c>
      <c r="T112">
        <f t="shared" si="12"/>
        <v>0</v>
      </c>
    </row>
    <row r="113" spans="1:20" x14ac:dyDescent="0.2">
      <c r="A113" s="1">
        <v>19</v>
      </c>
      <c r="B113" s="1" t="s">
        <v>29</v>
      </c>
      <c r="C113" s="1">
        <v>3.0314999999999999</v>
      </c>
      <c r="D113" s="1">
        <v>1</v>
      </c>
      <c r="G113" s="1">
        <v>4200</v>
      </c>
      <c r="H113" s="1">
        <v>4829</v>
      </c>
      <c r="I113" s="1">
        <v>76.707999999999998</v>
      </c>
      <c r="K113" s="1">
        <v>0</v>
      </c>
      <c r="M113" t="b">
        <f t="shared" si="13"/>
        <v>0</v>
      </c>
      <c r="N113">
        <f t="shared" si="8"/>
        <v>0</v>
      </c>
      <c r="O113">
        <f t="shared" si="9"/>
        <v>1</v>
      </c>
      <c r="P113">
        <f t="shared" si="14"/>
        <v>6</v>
      </c>
      <c r="R113">
        <f t="shared" si="10"/>
        <v>6</v>
      </c>
      <c r="S113">
        <f t="shared" si="11"/>
        <v>2</v>
      </c>
      <c r="T113">
        <f t="shared" si="12"/>
        <v>0</v>
      </c>
    </row>
    <row r="114" spans="1:20" x14ac:dyDescent="0.2">
      <c r="A114" s="1">
        <v>20</v>
      </c>
      <c r="B114" s="1" t="s">
        <v>30</v>
      </c>
      <c r="C114" s="1">
        <v>30.227</v>
      </c>
      <c r="D114" s="1">
        <v>0</v>
      </c>
      <c r="E114" s="1">
        <v>5214</v>
      </c>
      <c r="F114" s="1">
        <v>3646</v>
      </c>
      <c r="I114" s="1">
        <v>94.228999999999999</v>
      </c>
      <c r="J114" s="1">
        <v>8.1000000000000003E-2</v>
      </c>
      <c r="M114" t="b">
        <f t="shared" si="13"/>
        <v>0</v>
      </c>
      <c r="N114">
        <f t="shared" si="8"/>
        <v>1</v>
      </c>
      <c r="O114">
        <f t="shared" si="9"/>
        <v>0</v>
      </c>
      <c r="P114">
        <f t="shared" si="14"/>
        <v>1</v>
      </c>
      <c r="R114">
        <f t="shared" si="10"/>
        <v>1</v>
      </c>
      <c r="S114">
        <f t="shared" si="11"/>
        <v>2</v>
      </c>
      <c r="T114">
        <f t="shared" si="12"/>
        <v>0</v>
      </c>
    </row>
    <row r="115" spans="1:20" x14ac:dyDescent="0.2">
      <c r="A115" s="1">
        <v>20</v>
      </c>
      <c r="B115" s="1" t="s">
        <v>30</v>
      </c>
      <c r="C115" s="1">
        <v>30.227</v>
      </c>
      <c r="D115" s="1">
        <v>1</v>
      </c>
      <c r="E115" s="1">
        <v>5214</v>
      </c>
      <c r="F115" s="1">
        <v>3646</v>
      </c>
      <c r="I115" s="1">
        <v>94.262</v>
      </c>
      <c r="J115" s="1">
        <v>0</v>
      </c>
      <c r="M115" t="b">
        <f t="shared" si="13"/>
        <v>0</v>
      </c>
      <c r="N115">
        <f t="shared" si="8"/>
        <v>1</v>
      </c>
      <c r="O115">
        <f t="shared" si="9"/>
        <v>1</v>
      </c>
      <c r="P115">
        <f t="shared" si="14"/>
        <v>2</v>
      </c>
      <c r="R115">
        <f t="shared" si="10"/>
        <v>2</v>
      </c>
      <c r="S115">
        <f t="shared" si="11"/>
        <v>2</v>
      </c>
      <c r="T115">
        <f t="shared" si="12"/>
        <v>0</v>
      </c>
    </row>
    <row r="116" spans="1:20" x14ac:dyDescent="0.2">
      <c r="A116" s="1">
        <v>20</v>
      </c>
      <c r="B116" s="1" t="s">
        <v>30</v>
      </c>
      <c r="C116" s="1">
        <v>30.227</v>
      </c>
      <c r="D116" s="1">
        <v>0</v>
      </c>
      <c r="E116" s="1">
        <v>692</v>
      </c>
      <c r="F116" s="1">
        <v>488</v>
      </c>
      <c r="I116" s="1">
        <v>18.225999999999999</v>
      </c>
      <c r="J116" s="1">
        <v>7.3650000000000002</v>
      </c>
      <c r="M116" t="b">
        <f t="shared" si="13"/>
        <v>1</v>
      </c>
      <c r="N116">
        <f t="shared" si="8"/>
        <v>1</v>
      </c>
      <c r="O116">
        <f t="shared" si="9"/>
        <v>0</v>
      </c>
      <c r="P116">
        <f t="shared" si="14"/>
        <v>3</v>
      </c>
      <c r="R116">
        <f t="shared" si="10"/>
        <v>3</v>
      </c>
      <c r="S116">
        <f t="shared" si="11"/>
        <v>2</v>
      </c>
      <c r="T116">
        <f t="shared" si="12"/>
        <v>0</v>
      </c>
    </row>
    <row r="117" spans="1:20" x14ac:dyDescent="0.2">
      <c r="A117" s="1">
        <v>20</v>
      </c>
      <c r="B117" s="1" t="s">
        <v>30</v>
      </c>
      <c r="C117" s="1">
        <v>30.227</v>
      </c>
      <c r="D117" s="1">
        <v>0</v>
      </c>
      <c r="G117" s="1">
        <v>600</v>
      </c>
      <c r="H117" s="1">
        <v>682</v>
      </c>
      <c r="I117" s="1">
        <v>15.875</v>
      </c>
      <c r="K117" s="1">
        <v>-13.082000000000001</v>
      </c>
      <c r="M117" t="b">
        <f t="shared" si="13"/>
        <v>1</v>
      </c>
      <c r="N117">
        <f t="shared" si="8"/>
        <v>0</v>
      </c>
      <c r="O117">
        <f t="shared" si="9"/>
        <v>0</v>
      </c>
      <c r="P117">
        <f t="shared" si="14"/>
        <v>4</v>
      </c>
      <c r="R117">
        <f t="shared" si="10"/>
        <v>4</v>
      </c>
      <c r="S117">
        <f t="shared" si="11"/>
        <v>2</v>
      </c>
      <c r="T117">
        <f t="shared" si="12"/>
        <v>0</v>
      </c>
    </row>
    <row r="118" spans="1:20" x14ac:dyDescent="0.2">
      <c r="A118" s="1">
        <v>20</v>
      </c>
      <c r="B118" s="1" t="s">
        <v>30</v>
      </c>
      <c r="C118" s="1">
        <v>30.227</v>
      </c>
      <c r="D118" s="1">
        <v>0</v>
      </c>
      <c r="G118" s="1">
        <v>4203</v>
      </c>
      <c r="H118" s="1">
        <v>4834</v>
      </c>
      <c r="I118" s="1">
        <v>76.396000000000001</v>
      </c>
      <c r="K118" s="1">
        <v>0.33600000000000002</v>
      </c>
      <c r="M118" t="b">
        <f t="shared" si="13"/>
        <v>0</v>
      </c>
      <c r="N118">
        <f t="shared" si="8"/>
        <v>0</v>
      </c>
      <c r="O118">
        <f t="shared" si="9"/>
        <v>0</v>
      </c>
      <c r="P118">
        <f t="shared" si="14"/>
        <v>5</v>
      </c>
      <c r="R118">
        <f t="shared" si="10"/>
        <v>5</v>
      </c>
      <c r="S118">
        <f t="shared" si="11"/>
        <v>2</v>
      </c>
      <c r="T118">
        <f t="shared" si="12"/>
        <v>0</v>
      </c>
    </row>
    <row r="119" spans="1:20" x14ac:dyDescent="0.2">
      <c r="A119" s="1">
        <v>20</v>
      </c>
      <c r="B119" s="1" t="s">
        <v>30</v>
      </c>
      <c r="C119" s="1">
        <v>30.227</v>
      </c>
      <c r="D119" s="1">
        <v>1</v>
      </c>
      <c r="G119" s="1">
        <v>4200</v>
      </c>
      <c r="H119" s="1">
        <v>4829</v>
      </c>
      <c r="I119" s="1">
        <v>76.652000000000001</v>
      </c>
      <c r="K119" s="1">
        <v>0</v>
      </c>
      <c r="M119" t="b">
        <f t="shared" si="13"/>
        <v>0</v>
      </c>
      <c r="N119">
        <f t="shared" si="8"/>
        <v>0</v>
      </c>
      <c r="O119">
        <f t="shared" si="9"/>
        <v>1</v>
      </c>
      <c r="P119">
        <f t="shared" si="14"/>
        <v>6</v>
      </c>
      <c r="R119">
        <f t="shared" si="10"/>
        <v>6</v>
      </c>
      <c r="S119">
        <f t="shared" si="11"/>
        <v>2</v>
      </c>
      <c r="T119">
        <f t="shared" si="12"/>
        <v>0</v>
      </c>
    </row>
    <row r="120" spans="1:20" x14ac:dyDescent="0.2">
      <c r="A120" s="1">
        <v>21</v>
      </c>
      <c r="B120" s="1" t="s">
        <v>31</v>
      </c>
      <c r="C120" s="1">
        <v>29.875</v>
      </c>
      <c r="D120" s="1">
        <v>0</v>
      </c>
      <c r="E120" s="1">
        <v>5215</v>
      </c>
      <c r="F120" s="1">
        <v>3648</v>
      </c>
      <c r="I120" s="1">
        <v>94.343999999999994</v>
      </c>
      <c r="J120" s="1">
        <v>6.7000000000000004E-2</v>
      </c>
      <c r="M120" t="b">
        <f t="shared" si="13"/>
        <v>0</v>
      </c>
      <c r="N120">
        <f t="shared" si="8"/>
        <v>1</v>
      </c>
      <c r="O120">
        <f t="shared" si="9"/>
        <v>0</v>
      </c>
      <c r="P120">
        <f t="shared" si="14"/>
        <v>1</v>
      </c>
      <c r="R120">
        <f t="shared" si="10"/>
        <v>1</v>
      </c>
      <c r="S120">
        <f t="shared" si="11"/>
        <v>2</v>
      </c>
      <c r="T120">
        <f t="shared" si="12"/>
        <v>0</v>
      </c>
    </row>
    <row r="121" spans="1:20" x14ac:dyDescent="0.2">
      <c r="A121" s="1">
        <v>21</v>
      </c>
      <c r="B121" s="1" t="s">
        <v>31</v>
      </c>
      <c r="C121" s="1">
        <v>29.875</v>
      </c>
      <c r="D121" s="1">
        <v>1</v>
      </c>
      <c r="E121" s="1">
        <v>5213</v>
      </c>
      <c r="F121" s="1">
        <v>3646</v>
      </c>
      <c r="I121" s="1">
        <v>94.281999999999996</v>
      </c>
      <c r="J121" s="1">
        <v>0</v>
      </c>
      <c r="M121" t="b">
        <f t="shared" si="13"/>
        <v>0</v>
      </c>
      <c r="N121">
        <f t="shared" si="8"/>
        <v>1</v>
      </c>
      <c r="O121">
        <f t="shared" si="9"/>
        <v>1</v>
      </c>
      <c r="P121">
        <f t="shared" si="14"/>
        <v>2</v>
      </c>
      <c r="R121">
        <f t="shared" si="10"/>
        <v>2</v>
      </c>
      <c r="S121">
        <f t="shared" si="11"/>
        <v>2</v>
      </c>
      <c r="T121">
        <f t="shared" si="12"/>
        <v>0</v>
      </c>
    </row>
    <row r="122" spans="1:20" x14ac:dyDescent="0.2">
      <c r="A122" s="1">
        <v>21</v>
      </c>
      <c r="B122" s="1" t="s">
        <v>31</v>
      </c>
      <c r="C122" s="1">
        <v>29.875</v>
      </c>
      <c r="D122" s="1">
        <v>0</v>
      </c>
      <c r="E122" s="1">
        <v>558</v>
      </c>
      <c r="F122" s="1">
        <v>393</v>
      </c>
      <c r="I122" s="1">
        <v>14.6</v>
      </c>
      <c r="J122" s="1">
        <v>7.43</v>
      </c>
      <c r="M122" t="b">
        <f t="shared" si="13"/>
        <v>1</v>
      </c>
      <c r="N122">
        <f t="shared" si="8"/>
        <v>1</v>
      </c>
      <c r="O122">
        <f t="shared" si="9"/>
        <v>0</v>
      </c>
      <c r="P122">
        <f t="shared" si="14"/>
        <v>3</v>
      </c>
      <c r="R122">
        <f t="shared" si="10"/>
        <v>3</v>
      </c>
      <c r="S122">
        <f t="shared" si="11"/>
        <v>2</v>
      </c>
      <c r="T122">
        <f t="shared" si="12"/>
        <v>0</v>
      </c>
    </row>
    <row r="123" spans="1:20" x14ac:dyDescent="0.2">
      <c r="A123" s="1">
        <v>21</v>
      </c>
      <c r="B123" s="1" t="s">
        <v>31</v>
      </c>
      <c r="C123" s="1">
        <v>29.875</v>
      </c>
      <c r="D123" s="1">
        <v>0</v>
      </c>
      <c r="G123" s="1">
        <v>482</v>
      </c>
      <c r="H123" s="1">
        <v>548</v>
      </c>
      <c r="I123" s="1">
        <v>12.611000000000001</v>
      </c>
      <c r="K123" s="1">
        <v>-12.843</v>
      </c>
      <c r="M123" t="b">
        <f t="shared" si="13"/>
        <v>1</v>
      </c>
      <c r="N123">
        <f t="shared" si="8"/>
        <v>0</v>
      </c>
      <c r="O123">
        <f t="shared" si="9"/>
        <v>0</v>
      </c>
      <c r="P123">
        <f t="shared" si="14"/>
        <v>4</v>
      </c>
      <c r="R123">
        <f t="shared" si="10"/>
        <v>4</v>
      </c>
      <c r="S123">
        <f t="shared" si="11"/>
        <v>2</v>
      </c>
      <c r="T123">
        <f t="shared" si="12"/>
        <v>0</v>
      </c>
    </row>
    <row r="124" spans="1:20" x14ac:dyDescent="0.2">
      <c r="A124" s="1">
        <v>21</v>
      </c>
      <c r="B124" s="1" t="s">
        <v>31</v>
      </c>
      <c r="C124" s="1">
        <v>29.875</v>
      </c>
      <c r="D124" s="1">
        <v>0</v>
      </c>
      <c r="G124" s="1">
        <v>4204</v>
      </c>
      <c r="H124" s="1">
        <v>4834</v>
      </c>
      <c r="I124" s="1">
        <v>76.444999999999993</v>
      </c>
      <c r="K124" s="1">
        <v>0.28899999999999998</v>
      </c>
      <c r="M124" t="b">
        <f t="shared" si="13"/>
        <v>0</v>
      </c>
      <c r="N124">
        <f t="shared" si="8"/>
        <v>0</v>
      </c>
      <c r="O124">
        <f t="shared" si="9"/>
        <v>0</v>
      </c>
      <c r="P124">
        <f t="shared" si="14"/>
        <v>5</v>
      </c>
      <c r="R124">
        <f t="shared" si="10"/>
        <v>5</v>
      </c>
      <c r="S124">
        <f t="shared" si="11"/>
        <v>2</v>
      </c>
      <c r="T124">
        <f t="shared" si="12"/>
        <v>0</v>
      </c>
    </row>
    <row r="125" spans="1:20" x14ac:dyDescent="0.2">
      <c r="A125" s="1">
        <v>21</v>
      </c>
      <c r="B125" s="1" t="s">
        <v>31</v>
      </c>
      <c r="C125" s="1">
        <v>29.875</v>
      </c>
      <c r="D125" s="1">
        <v>1</v>
      </c>
      <c r="G125" s="1">
        <v>4200</v>
      </c>
      <c r="H125" s="1">
        <v>4829</v>
      </c>
      <c r="I125" s="1">
        <v>76.673000000000002</v>
      </c>
      <c r="K125" s="1">
        <v>0</v>
      </c>
      <c r="M125" t="b">
        <f t="shared" si="13"/>
        <v>0</v>
      </c>
      <c r="N125">
        <f t="shared" si="8"/>
        <v>0</v>
      </c>
      <c r="O125">
        <f t="shared" si="9"/>
        <v>1</v>
      </c>
      <c r="P125">
        <f t="shared" si="14"/>
        <v>6</v>
      </c>
      <c r="R125">
        <f t="shared" si="10"/>
        <v>6</v>
      </c>
      <c r="S125">
        <f t="shared" si="11"/>
        <v>2</v>
      </c>
      <c r="T125">
        <f t="shared" si="12"/>
        <v>0</v>
      </c>
    </row>
    <row r="126" spans="1:20" x14ac:dyDescent="0.2">
      <c r="A126" s="1">
        <v>22</v>
      </c>
      <c r="B126" s="1" t="s">
        <v>32</v>
      </c>
      <c r="C126" s="1">
        <v>29.428000000000001</v>
      </c>
      <c r="D126" s="1">
        <v>0</v>
      </c>
      <c r="E126" s="1">
        <v>5215</v>
      </c>
      <c r="F126" s="1">
        <v>3647</v>
      </c>
      <c r="I126" s="1">
        <v>94.296999999999997</v>
      </c>
      <c r="J126" s="1">
        <v>6.2E-2</v>
      </c>
      <c r="M126" t="b">
        <f t="shared" si="13"/>
        <v>0</v>
      </c>
      <c r="N126">
        <f t="shared" si="8"/>
        <v>1</v>
      </c>
      <c r="O126">
        <f t="shared" si="9"/>
        <v>0</v>
      </c>
      <c r="P126">
        <f t="shared" si="14"/>
        <v>1</v>
      </c>
      <c r="R126">
        <f t="shared" si="10"/>
        <v>1</v>
      </c>
      <c r="S126">
        <f t="shared" si="11"/>
        <v>2</v>
      </c>
      <c r="T126">
        <f t="shared" si="12"/>
        <v>0</v>
      </c>
    </row>
    <row r="127" spans="1:20" x14ac:dyDescent="0.2">
      <c r="A127" s="1">
        <v>22</v>
      </c>
      <c r="B127" s="1" t="s">
        <v>32</v>
      </c>
      <c r="C127" s="1">
        <v>29.428000000000001</v>
      </c>
      <c r="D127" s="1">
        <v>1</v>
      </c>
      <c r="E127" s="1">
        <v>5214</v>
      </c>
      <c r="F127" s="1">
        <v>3647</v>
      </c>
      <c r="I127" s="1">
        <v>94.247</v>
      </c>
      <c r="J127" s="1">
        <v>0</v>
      </c>
      <c r="M127" t="b">
        <f t="shared" si="13"/>
        <v>0</v>
      </c>
      <c r="N127">
        <f t="shared" si="8"/>
        <v>1</v>
      </c>
      <c r="O127">
        <f t="shared" si="9"/>
        <v>1</v>
      </c>
      <c r="P127">
        <f t="shared" si="14"/>
        <v>2</v>
      </c>
      <c r="R127">
        <f t="shared" si="10"/>
        <v>2</v>
      </c>
      <c r="S127">
        <f t="shared" si="11"/>
        <v>2</v>
      </c>
      <c r="T127">
        <f t="shared" si="12"/>
        <v>0</v>
      </c>
    </row>
    <row r="128" spans="1:20" x14ac:dyDescent="0.2">
      <c r="A128" s="1">
        <v>22</v>
      </c>
      <c r="B128" s="1" t="s">
        <v>32</v>
      </c>
      <c r="C128" s="1">
        <v>29.428000000000001</v>
      </c>
      <c r="D128" s="1">
        <v>0</v>
      </c>
      <c r="E128" s="1">
        <v>507</v>
      </c>
      <c r="F128" s="1">
        <v>358</v>
      </c>
      <c r="I128" s="1">
        <v>13.414999999999999</v>
      </c>
      <c r="J128" s="1">
        <v>7.202</v>
      </c>
      <c r="M128" t="b">
        <f t="shared" si="13"/>
        <v>1</v>
      </c>
      <c r="N128">
        <f t="shared" si="8"/>
        <v>1</v>
      </c>
      <c r="O128">
        <f t="shared" si="9"/>
        <v>0</v>
      </c>
      <c r="P128">
        <f t="shared" si="14"/>
        <v>3</v>
      </c>
      <c r="R128">
        <f t="shared" si="10"/>
        <v>3</v>
      </c>
      <c r="S128">
        <f t="shared" si="11"/>
        <v>2</v>
      </c>
      <c r="T128">
        <f t="shared" si="12"/>
        <v>0</v>
      </c>
    </row>
    <row r="129" spans="1:20" x14ac:dyDescent="0.2">
      <c r="A129" s="1">
        <v>22</v>
      </c>
      <c r="B129" s="1" t="s">
        <v>32</v>
      </c>
      <c r="C129" s="1">
        <v>29.428000000000001</v>
      </c>
      <c r="D129" s="1">
        <v>0</v>
      </c>
      <c r="G129" s="1">
        <v>380</v>
      </c>
      <c r="H129" s="1">
        <v>432</v>
      </c>
      <c r="I129" s="1">
        <v>9.9369999999999994</v>
      </c>
      <c r="K129" s="1">
        <v>-12.561</v>
      </c>
      <c r="M129" t="b">
        <f t="shared" si="13"/>
        <v>1</v>
      </c>
      <c r="N129">
        <f t="shared" si="8"/>
        <v>0</v>
      </c>
      <c r="O129">
        <f t="shared" si="9"/>
        <v>0</v>
      </c>
      <c r="P129">
        <f t="shared" si="14"/>
        <v>4</v>
      </c>
      <c r="R129">
        <f t="shared" si="10"/>
        <v>4</v>
      </c>
      <c r="S129">
        <f t="shared" si="11"/>
        <v>2</v>
      </c>
      <c r="T129">
        <f t="shared" si="12"/>
        <v>0</v>
      </c>
    </row>
    <row r="130" spans="1:20" x14ac:dyDescent="0.2">
      <c r="A130" s="1">
        <v>22</v>
      </c>
      <c r="B130" s="1" t="s">
        <v>32</v>
      </c>
      <c r="C130" s="1">
        <v>29.428000000000001</v>
      </c>
      <c r="D130" s="1">
        <v>0</v>
      </c>
      <c r="G130" s="1">
        <v>4205</v>
      </c>
      <c r="H130" s="1">
        <v>4836</v>
      </c>
      <c r="I130" s="1">
        <v>76.381</v>
      </c>
      <c r="K130" s="1">
        <v>0.34100000000000003</v>
      </c>
      <c r="M130" t="b">
        <f t="shared" si="13"/>
        <v>0</v>
      </c>
      <c r="N130">
        <f t="shared" si="8"/>
        <v>0</v>
      </c>
      <c r="O130">
        <f t="shared" si="9"/>
        <v>0</v>
      </c>
      <c r="P130">
        <f t="shared" si="14"/>
        <v>5</v>
      </c>
      <c r="R130">
        <f t="shared" si="10"/>
        <v>5</v>
      </c>
      <c r="S130">
        <f t="shared" si="11"/>
        <v>2</v>
      </c>
      <c r="T130">
        <f t="shared" si="12"/>
        <v>0</v>
      </c>
    </row>
    <row r="131" spans="1:20" x14ac:dyDescent="0.2">
      <c r="A131" s="1">
        <v>22</v>
      </c>
      <c r="B131" s="1" t="s">
        <v>32</v>
      </c>
      <c r="C131" s="1">
        <v>29.428000000000001</v>
      </c>
      <c r="D131" s="1">
        <v>1</v>
      </c>
      <c r="G131" s="1">
        <v>4203</v>
      </c>
      <c r="H131" s="1">
        <v>4833</v>
      </c>
      <c r="I131" s="1">
        <v>76.739000000000004</v>
      </c>
      <c r="K131" s="1">
        <v>0</v>
      </c>
      <c r="M131" t="b">
        <f t="shared" si="13"/>
        <v>0</v>
      </c>
      <c r="N131">
        <f t="shared" ref="N131:N194" si="15">IF(A131&gt;0,IF(E131&gt;0,1,0),0)</f>
        <v>0</v>
      </c>
      <c r="O131">
        <f t="shared" ref="O131:O194" si="16">D131</f>
        <v>1</v>
      </c>
      <c r="P131">
        <f t="shared" si="14"/>
        <v>6</v>
      </c>
      <c r="R131">
        <f t="shared" ref="R131:R194" si="17">IF(A131&gt;0,IF(A131=A130,R130+1,1),0)</f>
        <v>6</v>
      </c>
      <c r="S131">
        <f t="shared" si="11"/>
        <v>2</v>
      </c>
      <c r="T131">
        <f t="shared" si="12"/>
        <v>0</v>
      </c>
    </row>
    <row r="132" spans="1:20" x14ac:dyDescent="0.2">
      <c r="A132" s="1">
        <v>23</v>
      </c>
      <c r="B132" s="1" t="s">
        <v>33</v>
      </c>
      <c r="C132" s="1">
        <v>30.588999999999999</v>
      </c>
      <c r="D132" s="1">
        <v>0</v>
      </c>
      <c r="E132" s="1">
        <v>5217</v>
      </c>
      <c r="F132" s="1">
        <v>3649</v>
      </c>
      <c r="I132" s="1">
        <v>94.204999999999998</v>
      </c>
      <c r="J132" s="1">
        <v>4.8000000000000001E-2</v>
      </c>
      <c r="M132" t="b">
        <f t="shared" si="13"/>
        <v>0</v>
      </c>
      <c r="N132">
        <f t="shared" si="15"/>
        <v>1</v>
      </c>
      <c r="O132">
        <f t="shared" si="16"/>
        <v>0</v>
      </c>
      <c r="P132">
        <f t="shared" si="14"/>
        <v>1</v>
      </c>
      <c r="R132">
        <f t="shared" si="17"/>
        <v>1</v>
      </c>
      <c r="S132">
        <f t="shared" ref="S132:S195" si="18">IF(A132&gt;0,IF(OR(R132=P132,P132-R132=P131-R131),S131,S131+P132-R132),0)</f>
        <v>2</v>
      </c>
      <c r="T132">
        <f t="shared" ref="T132:T195" si="19">IF(A132&gt;0,IF(AND(P132=6,P131=3,R132=4),T131+1,T131),0)</f>
        <v>0</v>
      </c>
    </row>
    <row r="133" spans="1:20" x14ac:dyDescent="0.2">
      <c r="A133" s="1">
        <v>23</v>
      </c>
      <c r="B133" s="1" t="s">
        <v>33</v>
      </c>
      <c r="C133" s="1">
        <v>30.588999999999999</v>
      </c>
      <c r="D133" s="1">
        <v>1</v>
      </c>
      <c r="E133" s="1">
        <v>5215</v>
      </c>
      <c r="F133" s="1">
        <v>3648</v>
      </c>
      <c r="I133" s="1">
        <v>94.325000000000003</v>
      </c>
      <c r="J133" s="1">
        <v>0</v>
      </c>
      <c r="M133" t="b">
        <f t="shared" ref="M133:M196" si="20">IF(A133&gt;0,OR(AND(O133=0,O132=1,N132=1,N133=1),AND(O133=0,O135=1,N135=0)),0)</f>
        <v>0</v>
      </c>
      <c r="N133">
        <f t="shared" si="15"/>
        <v>1</v>
      </c>
      <c r="O133">
        <f t="shared" si="16"/>
        <v>1</v>
      </c>
      <c r="P133">
        <f t="shared" si="14"/>
        <v>2</v>
      </c>
      <c r="R133">
        <f t="shared" si="17"/>
        <v>2</v>
      </c>
      <c r="S133">
        <f t="shared" si="18"/>
        <v>2</v>
      </c>
      <c r="T133">
        <f t="shared" si="19"/>
        <v>0</v>
      </c>
    </row>
    <row r="134" spans="1:20" x14ac:dyDescent="0.2">
      <c r="A134" s="1">
        <v>23</v>
      </c>
      <c r="B134" s="1" t="s">
        <v>33</v>
      </c>
      <c r="C134" s="1">
        <v>30.588999999999999</v>
      </c>
      <c r="D134" s="1">
        <v>0</v>
      </c>
      <c r="E134" s="1">
        <v>548</v>
      </c>
      <c r="F134" s="1">
        <v>386</v>
      </c>
      <c r="I134" s="1">
        <v>14.361000000000001</v>
      </c>
      <c r="J134" s="1">
        <v>6.9379999999999997</v>
      </c>
      <c r="M134" t="b">
        <f t="shared" si="20"/>
        <v>1</v>
      </c>
      <c r="N134">
        <f t="shared" si="15"/>
        <v>1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3</v>
      </c>
      <c r="R134">
        <f t="shared" si="17"/>
        <v>3</v>
      </c>
      <c r="S134">
        <f t="shared" si="18"/>
        <v>2</v>
      </c>
      <c r="T134">
        <f t="shared" si="19"/>
        <v>0</v>
      </c>
    </row>
    <row r="135" spans="1:20" x14ac:dyDescent="0.2">
      <c r="A135" s="1">
        <v>23</v>
      </c>
      <c r="B135" s="1" t="s">
        <v>33</v>
      </c>
      <c r="C135" s="1">
        <v>30.588999999999999</v>
      </c>
      <c r="D135" s="1">
        <v>0</v>
      </c>
      <c r="G135" s="1">
        <v>433</v>
      </c>
      <c r="H135" s="1">
        <v>493</v>
      </c>
      <c r="I135" s="1">
        <v>11.315</v>
      </c>
      <c r="K135" s="1">
        <v>-12.651999999999999</v>
      </c>
      <c r="M135" t="b">
        <f t="shared" si="20"/>
        <v>1</v>
      </c>
      <c r="N135">
        <f t="shared" si="15"/>
        <v>0</v>
      </c>
      <c r="O135">
        <f t="shared" si="16"/>
        <v>0</v>
      </c>
      <c r="P135">
        <f t="shared" si="21"/>
        <v>4</v>
      </c>
      <c r="R135">
        <f t="shared" si="17"/>
        <v>4</v>
      </c>
      <c r="S135">
        <f t="shared" si="18"/>
        <v>2</v>
      </c>
      <c r="T135">
        <f t="shared" si="19"/>
        <v>0</v>
      </c>
    </row>
    <row r="136" spans="1:20" x14ac:dyDescent="0.2">
      <c r="A136" s="1">
        <v>23</v>
      </c>
      <c r="B136" s="1" t="s">
        <v>33</v>
      </c>
      <c r="C136" s="1">
        <v>30.588999999999999</v>
      </c>
      <c r="D136" s="1">
        <v>0</v>
      </c>
      <c r="G136" s="1">
        <v>4208</v>
      </c>
      <c r="H136" s="1">
        <v>4840</v>
      </c>
      <c r="I136" s="1">
        <v>76.498999999999995</v>
      </c>
      <c r="K136" s="1">
        <v>0.31900000000000001</v>
      </c>
      <c r="M136" t="b">
        <f t="shared" si="20"/>
        <v>0</v>
      </c>
      <c r="N136">
        <f t="shared" si="15"/>
        <v>0</v>
      </c>
      <c r="O136">
        <f t="shared" si="16"/>
        <v>0</v>
      </c>
      <c r="P136">
        <f t="shared" si="21"/>
        <v>5</v>
      </c>
      <c r="R136">
        <f t="shared" si="17"/>
        <v>5</v>
      </c>
      <c r="S136">
        <f t="shared" si="18"/>
        <v>2</v>
      </c>
      <c r="T136">
        <f t="shared" si="19"/>
        <v>0</v>
      </c>
    </row>
    <row r="137" spans="1:20" x14ac:dyDescent="0.2">
      <c r="A137" s="1">
        <v>23</v>
      </c>
      <c r="B137" s="1" t="s">
        <v>33</v>
      </c>
      <c r="C137" s="1">
        <v>30.588999999999999</v>
      </c>
      <c r="D137" s="1">
        <v>1</v>
      </c>
      <c r="G137" s="1">
        <v>4202</v>
      </c>
      <c r="H137" s="1">
        <v>4832</v>
      </c>
      <c r="I137" s="1">
        <v>76.790000000000006</v>
      </c>
      <c r="K137" s="1">
        <v>0</v>
      </c>
      <c r="M137" t="b">
        <f t="shared" si="20"/>
        <v>0</v>
      </c>
      <c r="N137">
        <f t="shared" si="15"/>
        <v>0</v>
      </c>
      <c r="O137">
        <f t="shared" si="16"/>
        <v>1</v>
      </c>
      <c r="P137">
        <f t="shared" si="21"/>
        <v>6</v>
      </c>
      <c r="R137">
        <f t="shared" si="17"/>
        <v>6</v>
      </c>
      <c r="S137">
        <f t="shared" si="18"/>
        <v>2</v>
      </c>
      <c r="T137">
        <f t="shared" si="19"/>
        <v>0</v>
      </c>
    </row>
    <row r="138" spans="1:20" x14ac:dyDescent="0.2">
      <c r="A138" s="1">
        <v>24</v>
      </c>
      <c r="B138" s="1" t="s">
        <v>34</v>
      </c>
      <c r="C138" s="1">
        <v>12.004</v>
      </c>
      <c r="D138" s="1">
        <v>0</v>
      </c>
      <c r="E138" s="1">
        <v>5218</v>
      </c>
      <c r="F138" s="1">
        <v>3650</v>
      </c>
      <c r="I138" s="1">
        <v>94.313000000000002</v>
      </c>
      <c r="J138" s="1">
        <v>7.0000000000000007E-2</v>
      </c>
      <c r="M138" t="b">
        <f t="shared" si="20"/>
        <v>0</v>
      </c>
      <c r="N138">
        <f t="shared" si="15"/>
        <v>1</v>
      </c>
      <c r="O138">
        <f t="shared" si="16"/>
        <v>0</v>
      </c>
      <c r="P138">
        <f t="shared" si="21"/>
        <v>1</v>
      </c>
      <c r="R138">
        <f t="shared" si="17"/>
        <v>1</v>
      </c>
      <c r="S138">
        <f t="shared" si="18"/>
        <v>2</v>
      </c>
      <c r="T138">
        <f t="shared" si="19"/>
        <v>0</v>
      </c>
    </row>
    <row r="139" spans="1:20" x14ac:dyDescent="0.2">
      <c r="A139" s="1">
        <v>24</v>
      </c>
      <c r="B139" s="1" t="s">
        <v>34</v>
      </c>
      <c r="C139" s="1">
        <v>12.004</v>
      </c>
      <c r="D139" s="1">
        <v>1</v>
      </c>
      <c r="E139" s="1">
        <v>5219</v>
      </c>
      <c r="F139" s="1">
        <v>3650</v>
      </c>
      <c r="I139" s="1">
        <v>94.334000000000003</v>
      </c>
      <c r="J139" s="1">
        <v>0</v>
      </c>
      <c r="M139" t="b">
        <f t="shared" si="20"/>
        <v>0</v>
      </c>
      <c r="N139">
        <f t="shared" si="15"/>
        <v>1</v>
      </c>
      <c r="O139">
        <f t="shared" si="16"/>
        <v>1</v>
      </c>
      <c r="P139">
        <f t="shared" si="21"/>
        <v>2</v>
      </c>
      <c r="R139">
        <f t="shared" si="17"/>
        <v>2</v>
      </c>
      <c r="S139">
        <f t="shared" si="18"/>
        <v>2</v>
      </c>
      <c r="T139">
        <f t="shared" si="19"/>
        <v>0</v>
      </c>
    </row>
    <row r="140" spans="1:20" x14ac:dyDescent="0.2">
      <c r="A140" s="1">
        <v>24</v>
      </c>
      <c r="B140" s="1" t="s">
        <v>34</v>
      </c>
      <c r="C140" s="1">
        <v>12.004</v>
      </c>
      <c r="D140" s="1">
        <v>0</v>
      </c>
      <c r="E140" s="1">
        <v>646</v>
      </c>
      <c r="F140" s="1">
        <v>455</v>
      </c>
      <c r="I140" s="1">
        <v>16.437999999999999</v>
      </c>
      <c r="J140" s="1">
        <v>6.0229999999999997</v>
      </c>
      <c r="M140" t="b">
        <f t="shared" si="20"/>
        <v>1</v>
      </c>
      <c r="N140">
        <f t="shared" si="15"/>
        <v>1</v>
      </c>
      <c r="O140">
        <f t="shared" si="16"/>
        <v>0</v>
      </c>
      <c r="P140">
        <f t="shared" si="21"/>
        <v>3</v>
      </c>
      <c r="R140">
        <f t="shared" si="17"/>
        <v>3</v>
      </c>
      <c r="S140">
        <f t="shared" si="18"/>
        <v>2</v>
      </c>
      <c r="T140">
        <f t="shared" si="19"/>
        <v>0</v>
      </c>
    </row>
    <row r="141" spans="1:20" x14ac:dyDescent="0.2">
      <c r="A141" s="1">
        <v>24</v>
      </c>
      <c r="B141" s="1" t="s">
        <v>34</v>
      </c>
      <c r="C141" s="1">
        <v>12.004</v>
      </c>
      <c r="D141" s="1">
        <v>0</v>
      </c>
      <c r="G141" s="1">
        <v>908</v>
      </c>
      <c r="H141" s="1">
        <v>1040</v>
      </c>
      <c r="I141" s="1">
        <v>23.939</v>
      </c>
      <c r="K141" s="1">
        <v>-7.39</v>
      </c>
      <c r="M141" t="b">
        <f t="shared" si="20"/>
        <v>1</v>
      </c>
      <c r="N141">
        <f t="shared" si="15"/>
        <v>0</v>
      </c>
      <c r="O141">
        <f t="shared" si="16"/>
        <v>0</v>
      </c>
      <c r="P141">
        <f t="shared" si="21"/>
        <v>4</v>
      </c>
      <c r="R141">
        <f t="shared" si="17"/>
        <v>4</v>
      </c>
      <c r="S141">
        <f t="shared" si="18"/>
        <v>2</v>
      </c>
      <c r="T141">
        <f t="shared" si="19"/>
        <v>0</v>
      </c>
    </row>
    <row r="142" spans="1:20" x14ac:dyDescent="0.2">
      <c r="A142" s="1">
        <v>24</v>
      </c>
      <c r="B142" s="1" t="s">
        <v>34</v>
      </c>
      <c r="C142" s="1">
        <v>12.004</v>
      </c>
      <c r="D142" s="1">
        <v>0</v>
      </c>
      <c r="G142" s="1">
        <v>4207</v>
      </c>
      <c r="H142" s="1">
        <v>4838</v>
      </c>
      <c r="I142" s="1">
        <v>76.515000000000001</v>
      </c>
      <c r="K142" s="1">
        <v>0.312</v>
      </c>
      <c r="M142" t="b">
        <f t="shared" si="20"/>
        <v>0</v>
      </c>
      <c r="N142">
        <f t="shared" si="15"/>
        <v>0</v>
      </c>
      <c r="O142">
        <f t="shared" si="16"/>
        <v>0</v>
      </c>
      <c r="P142">
        <f t="shared" si="21"/>
        <v>5</v>
      </c>
      <c r="R142">
        <f t="shared" si="17"/>
        <v>5</v>
      </c>
      <c r="S142">
        <f t="shared" si="18"/>
        <v>2</v>
      </c>
      <c r="T142">
        <f t="shared" si="19"/>
        <v>0</v>
      </c>
    </row>
    <row r="143" spans="1:20" x14ac:dyDescent="0.2">
      <c r="A143" s="1">
        <v>24</v>
      </c>
      <c r="B143" s="1" t="s">
        <v>34</v>
      </c>
      <c r="C143" s="1">
        <v>12.004</v>
      </c>
      <c r="D143" s="1">
        <v>1</v>
      </c>
      <c r="G143" s="1">
        <v>4202</v>
      </c>
      <c r="H143" s="1">
        <v>4832</v>
      </c>
      <c r="I143" s="1">
        <v>76.757000000000005</v>
      </c>
      <c r="K143" s="1">
        <v>0</v>
      </c>
      <c r="M143" t="b">
        <f t="shared" si="20"/>
        <v>0</v>
      </c>
      <c r="N143">
        <f t="shared" si="15"/>
        <v>0</v>
      </c>
      <c r="O143">
        <f t="shared" si="16"/>
        <v>1</v>
      </c>
      <c r="P143">
        <f t="shared" si="21"/>
        <v>6</v>
      </c>
      <c r="R143">
        <f t="shared" si="17"/>
        <v>6</v>
      </c>
      <c r="S143">
        <f t="shared" si="18"/>
        <v>2</v>
      </c>
      <c r="T143">
        <f t="shared" si="19"/>
        <v>0</v>
      </c>
    </row>
    <row r="144" spans="1:20" x14ac:dyDescent="0.2">
      <c r="A144" s="1">
        <v>25</v>
      </c>
      <c r="B144" s="1" t="s">
        <v>35</v>
      </c>
      <c r="C144" s="1">
        <v>29.492000000000001</v>
      </c>
      <c r="D144" s="1">
        <v>0</v>
      </c>
      <c r="E144" s="1">
        <v>5219</v>
      </c>
      <c r="F144" s="1">
        <v>3650</v>
      </c>
      <c r="I144" s="1">
        <v>94.355000000000004</v>
      </c>
      <c r="J144" s="1">
        <v>5.7000000000000002E-2</v>
      </c>
      <c r="M144" t="b">
        <f t="shared" si="20"/>
        <v>0</v>
      </c>
      <c r="N144">
        <f t="shared" si="15"/>
        <v>1</v>
      </c>
      <c r="O144">
        <f t="shared" si="16"/>
        <v>0</v>
      </c>
      <c r="P144">
        <f t="shared" si="21"/>
        <v>1</v>
      </c>
      <c r="R144">
        <f t="shared" si="17"/>
        <v>1</v>
      </c>
      <c r="S144">
        <f t="shared" si="18"/>
        <v>2</v>
      </c>
      <c r="T144">
        <f t="shared" si="19"/>
        <v>0</v>
      </c>
    </row>
    <row r="145" spans="1:20" x14ac:dyDescent="0.2">
      <c r="A145" s="1">
        <v>25</v>
      </c>
      <c r="B145" s="1" t="s">
        <v>35</v>
      </c>
      <c r="C145" s="1">
        <v>29.492000000000001</v>
      </c>
      <c r="D145" s="1">
        <v>1</v>
      </c>
      <c r="E145" s="1">
        <v>5215</v>
      </c>
      <c r="F145" s="1">
        <v>3647</v>
      </c>
      <c r="I145" s="1">
        <v>94.331000000000003</v>
      </c>
      <c r="J145" s="1">
        <v>0</v>
      </c>
      <c r="M145" t="b">
        <f t="shared" si="20"/>
        <v>0</v>
      </c>
      <c r="N145">
        <f t="shared" si="15"/>
        <v>1</v>
      </c>
      <c r="O145">
        <f t="shared" si="16"/>
        <v>1</v>
      </c>
      <c r="P145">
        <f t="shared" si="21"/>
        <v>2</v>
      </c>
      <c r="R145">
        <f t="shared" si="17"/>
        <v>2</v>
      </c>
      <c r="S145">
        <f t="shared" si="18"/>
        <v>2</v>
      </c>
      <c r="T145">
        <f t="shared" si="19"/>
        <v>0</v>
      </c>
    </row>
    <row r="146" spans="1:20" x14ac:dyDescent="0.2">
      <c r="A146" s="1">
        <v>25</v>
      </c>
      <c r="B146" s="1" t="s">
        <v>35</v>
      </c>
      <c r="C146" s="1">
        <v>29.492000000000001</v>
      </c>
      <c r="D146" s="1">
        <v>0</v>
      </c>
      <c r="E146" s="1">
        <v>538</v>
      </c>
      <c r="F146" s="1">
        <v>380</v>
      </c>
      <c r="I146" s="1">
        <v>14.148</v>
      </c>
      <c r="J146" s="1">
        <v>6.8070000000000004</v>
      </c>
      <c r="M146" t="b">
        <f t="shared" si="20"/>
        <v>1</v>
      </c>
      <c r="N146">
        <f t="shared" si="15"/>
        <v>1</v>
      </c>
      <c r="O146">
        <f t="shared" si="16"/>
        <v>0</v>
      </c>
      <c r="P146">
        <f t="shared" si="21"/>
        <v>3</v>
      </c>
      <c r="R146">
        <f t="shared" si="17"/>
        <v>3</v>
      </c>
      <c r="S146">
        <f t="shared" si="18"/>
        <v>2</v>
      </c>
      <c r="T146">
        <f t="shared" si="19"/>
        <v>0</v>
      </c>
    </row>
    <row r="147" spans="1:20" x14ac:dyDescent="0.2">
      <c r="A147" s="1">
        <v>25</v>
      </c>
      <c r="B147" s="1" t="s">
        <v>35</v>
      </c>
      <c r="C147" s="1">
        <v>29.492000000000001</v>
      </c>
      <c r="D147" s="1">
        <v>0</v>
      </c>
      <c r="G147" s="1">
        <v>526</v>
      </c>
      <c r="H147" s="1">
        <v>597</v>
      </c>
      <c r="I147" s="1">
        <v>13.788</v>
      </c>
      <c r="K147" s="1">
        <v>-13.879</v>
      </c>
      <c r="M147" t="b">
        <f t="shared" si="20"/>
        <v>1</v>
      </c>
      <c r="N147">
        <f t="shared" si="15"/>
        <v>0</v>
      </c>
      <c r="O147">
        <f t="shared" si="16"/>
        <v>0</v>
      </c>
      <c r="P147">
        <f t="shared" si="21"/>
        <v>4</v>
      </c>
      <c r="R147">
        <f t="shared" si="17"/>
        <v>4</v>
      </c>
      <c r="S147">
        <f t="shared" si="18"/>
        <v>2</v>
      </c>
      <c r="T147">
        <f t="shared" si="19"/>
        <v>0</v>
      </c>
    </row>
    <row r="148" spans="1:20" x14ac:dyDescent="0.2">
      <c r="A148" s="1">
        <v>25</v>
      </c>
      <c r="B148" s="1" t="s">
        <v>35</v>
      </c>
      <c r="C148" s="1">
        <v>29.492000000000001</v>
      </c>
      <c r="D148" s="1">
        <v>0</v>
      </c>
      <c r="G148" s="1">
        <v>4204</v>
      </c>
      <c r="H148" s="1">
        <v>4836</v>
      </c>
      <c r="I148" s="1">
        <v>76.534000000000006</v>
      </c>
      <c r="K148" s="1">
        <v>0.32300000000000001</v>
      </c>
      <c r="M148" t="b">
        <f t="shared" si="20"/>
        <v>0</v>
      </c>
      <c r="N148">
        <f t="shared" si="15"/>
        <v>0</v>
      </c>
      <c r="O148">
        <f t="shared" si="16"/>
        <v>0</v>
      </c>
      <c r="P148">
        <f t="shared" si="21"/>
        <v>5</v>
      </c>
      <c r="R148">
        <f t="shared" si="17"/>
        <v>5</v>
      </c>
      <c r="S148">
        <f t="shared" si="18"/>
        <v>2</v>
      </c>
      <c r="T148">
        <f t="shared" si="19"/>
        <v>0</v>
      </c>
    </row>
    <row r="149" spans="1:20" x14ac:dyDescent="0.2">
      <c r="A149" s="1">
        <v>25</v>
      </c>
      <c r="B149" s="1" t="s">
        <v>35</v>
      </c>
      <c r="C149" s="1">
        <v>29.492000000000001</v>
      </c>
      <c r="D149" s="1">
        <v>1</v>
      </c>
      <c r="G149" s="1">
        <v>4201</v>
      </c>
      <c r="H149" s="1">
        <v>4830</v>
      </c>
      <c r="I149" s="1">
        <v>76.757999999999996</v>
      </c>
      <c r="K149" s="1">
        <v>0</v>
      </c>
      <c r="M149" t="b">
        <f t="shared" si="20"/>
        <v>0</v>
      </c>
      <c r="N149">
        <f t="shared" si="15"/>
        <v>0</v>
      </c>
      <c r="O149">
        <f t="shared" si="16"/>
        <v>1</v>
      </c>
      <c r="P149">
        <f t="shared" si="21"/>
        <v>6</v>
      </c>
      <c r="R149">
        <f t="shared" si="17"/>
        <v>6</v>
      </c>
      <c r="S149">
        <f t="shared" si="18"/>
        <v>2</v>
      </c>
      <c r="T149">
        <f t="shared" si="19"/>
        <v>0</v>
      </c>
    </row>
    <row r="150" spans="1:20" x14ac:dyDescent="0.2">
      <c r="A150" s="1">
        <v>26</v>
      </c>
      <c r="B150" s="1" t="s">
        <v>36</v>
      </c>
      <c r="C150" s="1">
        <v>29.841000000000001</v>
      </c>
      <c r="D150" s="1">
        <v>0</v>
      </c>
      <c r="E150" s="1">
        <v>5217</v>
      </c>
      <c r="F150" s="1">
        <v>3649</v>
      </c>
      <c r="I150" s="1">
        <v>94.441999999999993</v>
      </c>
      <c r="J150" s="1">
        <v>9.2999999999999999E-2</v>
      </c>
      <c r="M150" t="b">
        <f t="shared" si="20"/>
        <v>0</v>
      </c>
      <c r="N150">
        <f t="shared" si="15"/>
        <v>1</v>
      </c>
      <c r="O150">
        <f t="shared" si="16"/>
        <v>0</v>
      </c>
      <c r="P150">
        <f t="shared" si="21"/>
        <v>1</v>
      </c>
      <c r="R150">
        <f t="shared" si="17"/>
        <v>1</v>
      </c>
      <c r="S150">
        <f t="shared" si="18"/>
        <v>2</v>
      </c>
      <c r="T150">
        <f t="shared" si="19"/>
        <v>0</v>
      </c>
    </row>
    <row r="151" spans="1:20" x14ac:dyDescent="0.2">
      <c r="A151" s="1">
        <v>26</v>
      </c>
      <c r="B151" s="1" t="s">
        <v>36</v>
      </c>
      <c r="C151" s="1">
        <v>29.841000000000001</v>
      </c>
      <c r="D151" s="1">
        <v>1</v>
      </c>
      <c r="E151" s="1">
        <v>5215</v>
      </c>
      <c r="F151" s="1">
        <v>3647</v>
      </c>
      <c r="I151" s="1">
        <v>94.319000000000003</v>
      </c>
      <c r="J151" s="1">
        <v>0</v>
      </c>
      <c r="M151" t="b">
        <f t="shared" si="20"/>
        <v>0</v>
      </c>
      <c r="N151">
        <f t="shared" si="15"/>
        <v>1</v>
      </c>
      <c r="O151">
        <f t="shared" si="16"/>
        <v>1</v>
      </c>
      <c r="P151">
        <f t="shared" si="21"/>
        <v>2</v>
      </c>
      <c r="R151">
        <f t="shared" si="17"/>
        <v>2</v>
      </c>
      <c r="S151">
        <f t="shared" si="18"/>
        <v>2</v>
      </c>
      <c r="T151">
        <f t="shared" si="19"/>
        <v>0</v>
      </c>
    </row>
    <row r="152" spans="1:20" x14ac:dyDescent="0.2">
      <c r="A152" s="1">
        <v>26</v>
      </c>
      <c r="B152" s="1" t="s">
        <v>36</v>
      </c>
      <c r="C152" s="1">
        <v>29.841000000000001</v>
      </c>
      <c r="D152" s="1">
        <v>0</v>
      </c>
      <c r="E152" s="1">
        <v>638</v>
      </c>
      <c r="F152" s="1">
        <v>450</v>
      </c>
      <c r="I152" s="1">
        <v>16.603999999999999</v>
      </c>
      <c r="J152" s="1">
        <v>7.27</v>
      </c>
      <c r="M152" t="b">
        <f t="shared" si="20"/>
        <v>1</v>
      </c>
      <c r="N152">
        <f t="shared" si="15"/>
        <v>1</v>
      </c>
      <c r="O152">
        <f t="shared" si="16"/>
        <v>0</v>
      </c>
      <c r="P152">
        <f t="shared" si="21"/>
        <v>3</v>
      </c>
      <c r="R152">
        <f t="shared" si="17"/>
        <v>3</v>
      </c>
      <c r="S152">
        <f t="shared" si="18"/>
        <v>2</v>
      </c>
      <c r="T152">
        <f t="shared" si="19"/>
        <v>0</v>
      </c>
    </row>
    <row r="153" spans="1:20" x14ac:dyDescent="0.2">
      <c r="A153" s="1">
        <v>26</v>
      </c>
      <c r="B153" s="1" t="s">
        <v>36</v>
      </c>
      <c r="C153" s="1">
        <v>29.841000000000001</v>
      </c>
      <c r="D153" s="1">
        <v>0</v>
      </c>
      <c r="G153" s="1">
        <v>659</v>
      </c>
      <c r="H153" s="1">
        <v>749</v>
      </c>
      <c r="I153" s="1">
        <v>17.341999999999999</v>
      </c>
      <c r="K153" s="1">
        <v>-13.63</v>
      </c>
      <c r="M153" t="b">
        <f t="shared" si="20"/>
        <v>1</v>
      </c>
      <c r="N153">
        <f t="shared" si="15"/>
        <v>0</v>
      </c>
      <c r="O153">
        <f t="shared" si="16"/>
        <v>0</v>
      </c>
      <c r="P153">
        <f t="shared" si="21"/>
        <v>4</v>
      </c>
      <c r="R153">
        <f t="shared" si="17"/>
        <v>4</v>
      </c>
      <c r="S153">
        <f t="shared" si="18"/>
        <v>2</v>
      </c>
      <c r="T153">
        <f t="shared" si="19"/>
        <v>0</v>
      </c>
    </row>
    <row r="154" spans="1:20" x14ac:dyDescent="0.2">
      <c r="A154" s="1">
        <v>26</v>
      </c>
      <c r="B154" s="1" t="s">
        <v>36</v>
      </c>
      <c r="C154" s="1">
        <v>29.841000000000001</v>
      </c>
      <c r="D154" s="1">
        <v>0</v>
      </c>
      <c r="G154" s="1">
        <v>4203</v>
      </c>
      <c r="H154" s="1">
        <v>4835</v>
      </c>
      <c r="I154" s="1">
        <v>76.491</v>
      </c>
      <c r="K154" s="1">
        <v>0.29599999999999999</v>
      </c>
      <c r="M154" t="b">
        <f t="shared" si="20"/>
        <v>0</v>
      </c>
      <c r="N154">
        <f t="shared" si="15"/>
        <v>0</v>
      </c>
      <c r="O154">
        <f t="shared" si="16"/>
        <v>0</v>
      </c>
      <c r="P154">
        <f t="shared" si="21"/>
        <v>5</v>
      </c>
      <c r="R154">
        <f t="shared" si="17"/>
        <v>5</v>
      </c>
      <c r="S154">
        <f t="shared" si="18"/>
        <v>2</v>
      </c>
      <c r="T154">
        <f t="shared" si="19"/>
        <v>0</v>
      </c>
    </row>
    <row r="155" spans="1:20" x14ac:dyDescent="0.2">
      <c r="A155" s="1">
        <v>26</v>
      </c>
      <c r="B155" s="1" t="s">
        <v>36</v>
      </c>
      <c r="C155" s="1">
        <v>29.841000000000001</v>
      </c>
      <c r="D155" s="1">
        <v>1</v>
      </c>
      <c r="G155" s="1">
        <v>4203</v>
      </c>
      <c r="H155" s="1">
        <v>4833</v>
      </c>
      <c r="I155" s="1">
        <v>76.998999999999995</v>
      </c>
      <c r="K155" s="1">
        <v>0</v>
      </c>
      <c r="M155" t="b">
        <f t="shared" si="20"/>
        <v>0</v>
      </c>
      <c r="N155">
        <f t="shared" si="15"/>
        <v>0</v>
      </c>
      <c r="O155">
        <f t="shared" si="16"/>
        <v>1</v>
      </c>
      <c r="P155">
        <f t="shared" si="21"/>
        <v>6</v>
      </c>
      <c r="R155">
        <f t="shared" si="17"/>
        <v>6</v>
      </c>
      <c r="S155">
        <f t="shared" si="18"/>
        <v>2</v>
      </c>
      <c r="T155">
        <f t="shared" si="19"/>
        <v>0</v>
      </c>
    </row>
    <row r="156" spans="1:20" x14ac:dyDescent="0.2">
      <c r="A156" s="1">
        <v>27</v>
      </c>
      <c r="B156" s="1" t="s">
        <v>37</v>
      </c>
      <c r="C156" s="1">
        <v>30.346</v>
      </c>
      <c r="D156" s="1">
        <v>0</v>
      </c>
      <c r="E156" s="1">
        <v>5218</v>
      </c>
      <c r="F156" s="1">
        <v>3650</v>
      </c>
      <c r="I156" s="1">
        <v>94.340999999999994</v>
      </c>
      <c r="J156" s="1">
        <v>4.2999999999999997E-2</v>
      </c>
      <c r="M156" t="b">
        <f t="shared" si="20"/>
        <v>0</v>
      </c>
      <c r="N156">
        <f t="shared" si="15"/>
        <v>1</v>
      </c>
      <c r="O156">
        <f t="shared" si="16"/>
        <v>0</v>
      </c>
      <c r="P156">
        <f t="shared" si="21"/>
        <v>1</v>
      </c>
      <c r="R156">
        <f t="shared" si="17"/>
        <v>1</v>
      </c>
      <c r="S156">
        <f t="shared" si="18"/>
        <v>2</v>
      </c>
      <c r="T156">
        <f t="shared" si="19"/>
        <v>0</v>
      </c>
    </row>
    <row r="157" spans="1:20" x14ac:dyDescent="0.2">
      <c r="A157" s="1">
        <v>27</v>
      </c>
      <c r="B157" s="1" t="s">
        <v>37</v>
      </c>
      <c r="C157" s="1">
        <v>30.346</v>
      </c>
      <c r="D157" s="1">
        <v>1</v>
      </c>
      <c r="E157" s="1">
        <v>5216</v>
      </c>
      <c r="F157" s="1">
        <v>3649</v>
      </c>
      <c r="I157" s="1">
        <v>94.334000000000003</v>
      </c>
      <c r="J157" s="1">
        <v>0</v>
      </c>
      <c r="M157" t="b">
        <f t="shared" si="20"/>
        <v>0</v>
      </c>
      <c r="N157">
        <f t="shared" si="15"/>
        <v>1</v>
      </c>
      <c r="O157">
        <f t="shared" si="16"/>
        <v>1</v>
      </c>
      <c r="P157">
        <f t="shared" si="21"/>
        <v>2</v>
      </c>
      <c r="R157">
        <f t="shared" si="17"/>
        <v>2</v>
      </c>
      <c r="S157">
        <f t="shared" si="18"/>
        <v>2</v>
      </c>
      <c r="T157">
        <f t="shared" si="19"/>
        <v>0</v>
      </c>
    </row>
    <row r="158" spans="1:20" x14ac:dyDescent="0.2">
      <c r="A158" s="1">
        <v>27</v>
      </c>
      <c r="B158" s="1" t="s">
        <v>37</v>
      </c>
      <c r="C158" s="1">
        <v>30.346</v>
      </c>
      <c r="D158" s="1">
        <v>0</v>
      </c>
      <c r="E158" s="1">
        <v>521</v>
      </c>
      <c r="F158" s="1">
        <v>368</v>
      </c>
      <c r="I158" s="1">
        <v>13.801</v>
      </c>
      <c r="J158" s="1">
        <v>7.6</v>
      </c>
      <c r="M158" t="b">
        <f t="shared" si="20"/>
        <v>1</v>
      </c>
      <c r="N158">
        <f t="shared" si="15"/>
        <v>1</v>
      </c>
      <c r="O158">
        <f t="shared" si="16"/>
        <v>0</v>
      </c>
      <c r="P158">
        <f t="shared" si="21"/>
        <v>3</v>
      </c>
      <c r="R158">
        <f t="shared" si="17"/>
        <v>3</v>
      </c>
      <c r="S158">
        <f t="shared" si="18"/>
        <v>2</v>
      </c>
      <c r="T158">
        <f t="shared" si="19"/>
        <v>0</v>
      </c>
    </row>
    <row r="159" spans="1:20" x14ac:dyDescent="0.2">
      <c r="A159" s="1">
        <v>27</v>
      </c>
      <c r="B159" s="1" t="s">
        <v>37</v>
      </c>
      <c r="C159" s="1">
        <v>30.346</v>
      </c>
      <c r="D159" s="1">
        <v>0</v>
      </c>
      <c r="G159" s="1">
        <v>460</v>
      </c>
      <c r="H159" s="1">
        <v>523</v>
      </c>
      <c r="I159" s="1">
        <v>12.026</v>
      </c>
      <c r="K159" s="1">
        <v>-13.034000000000001</v>
      </c>
      <c r="M159" t="b">
        <f t="shared" si="20"/>
        <v>1</v>
      </c>
      <c r="N159">
        <f t="shared" si="15"/>
        <v>0</v>
      </c>
      <c r="O159">
        <f t="shared" si="16"/>
        <v>0</v>
      </c>
      <c r="P159">
        <f t="shared" si="21"/>
        <v>4</v>
      </c>
      <c r="R159">
        <f t="shared" si="17"/>
        <v>4</v>
      </c>
      <c r="S159">
        <f t="shared" si="18"/>
        <v>2</v>
      </c>
      <c r="T159">
        <f t="shared" si="19"/>
        <v>0</v>
      </c>
    </row>
    <row r="160" spans="1:20" x14ac:dyDescent="0.2">
      <c r="A160" s="1">
        <v>27</v>
      </c>
      <c r="B160" s="1" t="s">
        <v>37</v>
      </c>
      <c r="C160" s="1">
        <v>30.346</v>
      </c>
      <c r="D160" s="1">
        <v>0</v>
      </c>
      <c r="G160" s="1">
        <v>4204</v>
      </c>
      <c r="H160" s="1">
        <v>4834</v>
      </c>
      <c r="I160" s="1">
        <v>76.462999999999994</v>
      </c>
      <c r="K160" s="1">
        <v>0.28599999999999998</v>
      </c>
      <c r="M160" t="b">
        <f t="shared" si="20"/>
        <v>0</v>
      </c>
      <c r="N160">
        <f t="shared" si="15"/>
        <v>0</v>
      </c>
      <c r="O160">
        <f t="shared" si="16"/>
        <v>0</v>
      </c>
      <c r="P160">
        <f t="shared" si="21"/>
        <v>5</v>
      </c>
      <c r="R160">
        <f t="shared" si="17"/>
        <v>5</v>
      </c>
      <c r="S160">
        <f t="shared" si="18"/>
        <v>2</v>
      </c>
      <c r="T160">
        <f t="shared" si="19"/>
        <v>0</v>
      </c>
    </row>
    <row r="161" spans="1:20" x14ac:dyDescent="0.2">
      <c r="A161" s="1">
        <v>27</v>
      </c>
      <c r="B161" s="1" t="s">
        <v>37</v>
      </c>
      <c r="C161" s="1">
        <v>30.346</v>
      </c>
      <c r="D161" s="1">
        <v>1</v>
      </c>
      <c r="G161" s="1">
        <v>4200</v>
      </c>
      <c r="H161" s="1">
        <v>4830</v>
      </c>
      <c r="I161" s="1">
        <v>76.736000000000004</v>
      </c>
      <c r="K161" s="1">
        <v>0</v>
      </c>
      <c r="M161" t="b">
        <f t="shared" si="20"/>
        <v>0</v>
      </c>
      <c r="N161">
        <f t="shared" si="15"/>
        <v>0</v>
      </c>
      <c r="O161">
        <f t="shared" si="16"/>
        <v>1</v>
      </c>
      <c r="P161">
        <f t="shared" si="21"/>
        <v>6</v>
      </c>
      <c r="R161">
        <f t="shared" si="17"/>
        <v>6</v>
      </c>
      <c r="S161">
        <f t="shared" si="18"/>
        <v>2</v>
      </c>
      <c r="T161">
        <f t="shared" si="19"/>
        <v>0</v>
      </c>
    </row>
    <row r="162" spans="1:20" x14ac:dyDescent="0.2">
      <c r="A162" s="1">
        <v>28</v>
      </c>
      <c r="B162" s="1" t="s">
        <v>38</v>
      </c>
      <c r="C162" s="1">
        <v>30.141999999999999</v>
      </c>
      <c r="D162" s="1">
        <v>0</v>
      </c>
      <c r="E162" s="1">
        <v>5219</v>
      </c>
      <c r="F162" s="1">
        <v>3651</v>
      </c>
      <c r="I162" s="1">
        <v>94.326999999999998</v>
      </c>
      <c r="J162" s="1">
        <v>5.0999999999999997E-2</v>
      </c>
      <c r="M162" t="b">
        <f t="shared" si="20"/>
        <v>0</v>
      </c>
      <c r="N162">
        <f t="shared" si="15"/>
        <v>1</v>
      </c>
      <c r="O162">
        <f t="shared" si="16"/>
        <v>0</v>
      </c>
      <c r="P162">
        <f t="shared" si="21"/>
        <v>1</v>
      </c>
      <c r="R162">
        <f t="shared" si="17"/>
        <v>1</v>
      </c>
      <c r="S162">
        <f t="shared" si="18"/>
        <v>2</v>
      </c>
      <c r="T162">
        <f t="shared" si="19"/>
        <v>0</v>
      </c>
    </row>
    <row r="163" spans="1:20" x14ac:dyDescent="0.2">
      <c r="A163" s="1">
        <v>28</v>
      </c>
      <c r="B163" s="1" t="s">
        <v>38</v>
      </c>
      <c r="C163" s="1">
        <v>30.141999999999999</v>
      </c>
      <c r="D163" s="1">
        <v>1</v>
      </c>
      <c r="E163" s="1">
        <v>5215</v>
      </c>
      <c r="F163" s="1">
        <v>3648</v>
      </c>
      <c r="I163" s="1">
        <v>94.313999999999993</v>
      </c>
      <c r="J163" s="1">
        <v>0</v>
      </c>
      <c r="M163" t="b">
        <f t="shared" si="20"/>
        <v>0</v>
      </c>
      <c r="N163">
        <f t="shared" si="15"/>
        <v>1</v>
      </c>
      <c r="O163">
        <f t="shared" si="16"/>
        <v>1</v>
      </c>
      <c r="P163">
        <f t="shared" si="21"/>
        <v>2</v>
      </c>
      <c r="R163">
        <f t="shared" si="17"/>
        <v>2</v>
      </c>
      <c r="S163">
        <f t="shared" si="18"/>
        <v>2</v>
      </c>
      <c r="T163">
        <f t="shared" si="19"/>
        <v>0</v>
      </c>
    </row>
    <row r="164" spans="1:20" x14ac:dyDescent="0.2">
      <c r="A164" s="1">
        <v>28</v>
      </c>
      <c r="B164" s="1" t="s">
        <v>38</v>
      </c>
      <c r="C164" s="1">
        <v>30.141999999999999</v>
      </c>
      <c r="D164" s="1">
        <v>0</v>
      </c>
      <c r="E164" s="1">
        <v>513</v>
      </c>
      <c r="F164" s="1">
        <v>361</v>
      </c>
      <c r="I164" s="1">
        <v>13.728999999999999</v>
      </c>
      <c r="J164" s="1">
        <v>6.98</v>
      </c>
      <c r="M164" t="b">
        <f t="shared" si="20"/>
        <v>1</v>
      </c>
      <c r="N164">
        <f t="shared" si="15"/>
        <v>1</v>
      </c>
      <c r="O164">
        <f t="shared" si="16"/>
        <v>0</v>
      </c>
      <c r="P164">
        <f t="shared" si="21"/>
        <v>3</v>
      </c>
      <c r="R164">
        <f t="shared" si="17"/>
        <v>3</v>
      </c>
      <c r="S164">
        <f t="shared" si="18"/>
        <v>2</v>
      </c>
      <c r="T164">
        <f t="shared" si="19"/>
        <v>0</v>
      </c>
    </row>
    <row r="165" spans="1:20" x14ac:dyDescent="0.2">
      <c r="A165" s="1">
        <v>28</v>
      </c>
      <c r="B165" s="1" t="s">
        <v>38</v>
      </c>
      <c r="C165" s="1">
        <v>30.141999999999999</v>
      </c>
      <c r="D165" s="1">
        <v>0</v>
      </c>
      <c r="G165" s="1">
        <v>372</v>
      </c>
      <c r="H165" s="1">
        <v>423</v>
      </c>
      <c r="I165" s="1">
        <v>9.8019999999999996</v>
      </c>
      <c r="K165" s="1">
        <v>-12.098000000000001</v>
      </c>
      <c r="M165" t="b">
        <f t="shared" si="20"/>
        <v>1</v>
      </c>
      <c r="N165">
        <f t="shared" si="15"/>
        <v>0</v>
      </c>
      <c r="O165">
        <f t="shared" si="16"/>
        <v>0</v>
      </c>
      <c r="P165">
        <f t="shared" si="21"/>
        <v>4</v>
      </c>
      <c r="R165">
        <f t="shared" si="17"/>
        <v>4</v>
      </c>
      <c r="S165">
        <f t="shared" si="18"/>
        <v>2</v>
      </c>
      <c r="T165">
        <f t="shared" si="19"/>
        <v>0</v>
      </c>
    </row>
    <row r="166" spans="1:20" x14ac:dyDescent="0.2">
      <c r="A166" s="1">
        <v>28</v>
      </c>
      <c r="B166" s="1" t="s">
        <v>38</v>
      </c>
      <c r="C166" s="1">
        <v>30.141999999999999</v>
      </c>
      <c r="D166" s="1">
        <v>0</v>
      </c>
      <c r="G166" s="1">
        <v>4206</v>
      </c>
      <c r="H166" s="1">
        <v>4838</v>
      </c>
      <c r="I166" s="1">
        <v>76.551000000000002</v>
      </c>
      <c r="K166" s="1">
        <v>0.36499999999999999</v>
      </c>
      <c r="M166" t="b">
        <f t="shared" si="20"/>
        <v>0</v>
      </c>
      <c r="N166">
        <f t="shared" si="15"/>
        <v>0</v>
      </c>
      <c r="O166">
        <f t="shared" si="16"/>
        <v>0</v>
      </c>
      <c r="P166">
        <f t="shared" si="21"/>
        <v>5</v>
      </c>
      <c r="R166">
        <f t="shared" si="17"/>
        <v>5</v>
      </c>
      <c r="S166">
        <f t="shared" si="18"/>
        <v>2</v>
      </c>
      <c r="T166">
        <f t="shared" si="19"/>
        <v>0</v>
      </c>
    </row>
    <row r="167" spans="1:20" x14ac:dyDescent="0.2">
      <c r="A167" s="1">
        <v>28</v>
      </c>
      <c r="B167" s="1" t="s">
        <v>38</v>
      </c>
      <c r="C167" s="1">
        <v>30.141999999999999</v>
      </c>
      <c r="D167" s="1">
        <v>1</v>
      </c>
      <c r="G167" s="1">
        <v>4202</v>
      </c>
      <c r="H167" s="1">
        <v>4832</v>
      </c>
      <c r="I167" s="1">
        <v>76.741</v>
      </c>
      <c r="K167" s="1">
        <v>0</v>
      </c>
      <c r="M167" t="b">
        <f t="shared" si="20"/>
        <v>0</v>
      </c>
      <c r="N167">
        <f t="shared" si="15"/>
        <v>0</v>
      </c>
      <c r="O167">
        <f t="shared" si="16"/>
        <v>1</v>
      </c>
      <c r="P167">
        <f t="shared" si="21"/>
        <v>6</v>
      </c>
      <c r="R167">
        <f t="shared" si="17"/>
        <v>6</v>
      </c>
      <c r="S167">
        <f t="shared" si="18"/>
        <v>2</v>
      </c>
      <c r="T167">
        <f t="shared" si="19"/>
        <v>0</v>
      </c>
    </row>
    <row r="168" spans="1:20" x14ac:dyDescent="0.2">
      <c r="A168" s="1">
        <v>29</v>
      </c>
      <c r="B168" s="1" t="s">
        <v>39</v>
      </c>
      <c r="C168" s="1">
        <v>30.094999999999999</v>
      </c>
      <c r="D168" s="1">
        <v>0</v>
      </c>
      <c r="E168" s="1">
        <v>5219</v>
      </c>
      <c r="F168" s="1">
        <v>3651</v>
      </c>
      <c r="I168" s="1">
        <v>94.39</v>
      </c>
      <c r="J168" s="1">
        <v>4.8000000000000001E-2</v>
      </c>
      <c r="M168" t="b">
        <f t="shared" si="20"/>
        <v>0</v>
      </c>
      <c r="N168">
        <f t="shared" si="15"/>
        <v>1</v>
      </c>
      <c r="O168">
        <f t="shared" si="16"/>
        <v>0</v>
      </c>
      <c r="P168">
        <f t="shared" si="21"/>
        <v>1</v>
      </c>
      <c r="R168">
        <f t="shared" si="17"/>
        <v>1</v>
      </c>
      <c r="S168">
        <f t="shared" si="18"/>
        <v>2</v>
      </c>
      <c r="T168">
        <f t="shared" si="19"/>
        <v>0</v>
      </c>
    </row>
    <row r="169" spans="1:20" x14ac:dyDescent="0.2">
      <c r="A169" s="1">
        <v>29</v>
      </c>
      <c r="B169" s="1" t="s">
        <v>39</v>
      </c>
      <c r="C169" s="1">
        <v>30.094999999999999</v>
      </c>
      <c r="D169" s="1">
        <v>1</v>
      </c>
      <c r="E169" s="1">
        <v>5217</v>
      </c>
      <c r="F169" s="1">
        <v>3649</v>
      </c>
      <c r="I169" s="1">
        <v>94.35</v>
      </c>
      <c r="J169" s="1">
        <v>0</v>
      </c>
      <c r="M169" t="b">
        <f t="shared" si="20"/>
        <v>0</v>
      </c>
      <c r="N169">
        <f t="shared" si="15"/>
        <v>1</v>
      </c>
      <c r="O169">
        <f t="shared" si="16"/>
        <v>1</v>
      </c>
      <c r="P169">
        <f t="shared" si="21"/>
        <v>2</v>
      </c>
      <c r="R169">
        <f t="shared" si="17"/>
        <v>2</v>
      </c>
      <c r="S169">
        <f t="shared" si="18"/>
        <v>2</v>
      </c>
      <c r="T169">
        <f t="shared" si="19"/>
        <v>0</v>
      </c>
    </row>
    <row r="170" spans="1:20" x14ac:dyDescent="0.2">
      <c r="A170" s="1">
        <v>29</v>
      </c>
      <c r="B170" s="1" t="s">
        <v>39</v>
      </c>
      <c r="C170" s="1">
        <v>30.094999999999999</v>
      </c>
      <c r="D170" s="1">
        <v>0</v>
      </c>
      <c r="E170" s="1">
        <v>520</v>
      </c>
      <c r="F170" s="1">
        <v>367</v>
      </c>
      <c r="I170" s="1">
        <v>13.644</v>
      </c>
      <c r="J170" s="1">
        <v>7.4740000000000002</v>
      </c>
      <c r="M170" t="b">
        <f t="shared" si="20"/>
        <v>1</v>
      </c>
      <c r="N170">
        <f t="shared" si="15"/>
        <v>1</v>
      </c>
      <c r="O170">
        <f t="shared" si="16"/>
        <v>0</v>
      </c>
      <c r="P170">
        <f t="shared" si="21"/>
        <v>3</v>
      </c>
      <c r="R170">
        <f t="shared" si="17"/>
        <v>3</v>
      </c>
      <c r="S170">
        <f t="shared" si="18"/>
        <v>2</v>
      </c>
      <c r="T170">
        <f t="shared" si="19"/>
        <v>0</v>
      </c>
    </row>
    <row r="171" spans="1:20" x14ac:dyDescent="0.2">
      <c r="A171" s="1">
        <v>29</v>
      </c>
      <c r="B171" s="1" t="s">
        <v>39</v>
      </c>
      <c r="C171" s="1">
        <v>30.094999999999999</v>
      </c>
      <c r="D171" s="1">
        <v>0</v>
      </c>
      <c r="G171" s="1">
        <v>541</v>
      </c>
      <c r="H171" s="1">
        <v>615</v>
      </c>
      <c r="I171" s="1">
        <v>14.135</v>
      </c>
      <c r="K171" s="1">
        <v>-13.619</v>
      </c>
      <c r="M171" t="b">
        <f t="shared" si="20"/>
        <v>1</v>
      </c>
      <c r="N171">
        <f t="shared" si="15"/>
        <v>0</v>
      </c>
      <c r="O171">
        <f t="shared" si="16"/>
        <v>0</v>
      </c>
      <c r="P171">
        <f t="shared" si="21"/>
        <v>4</v>
      </c>
      <c r="R171">
        <f t="shared" si="17"/>
        <v>4</v>
      </c>
      <c r="S171">
        <f t="shared" si="18"/>
        <v>2</v>
      </c>
      <c r="T171">
        <f t="shared" si="19"/>
        <v>0</v>
      </c>
    </row>
    <row r="172" spans="1:20" x14ac:dyDescent="0.2">
      <c r="A172" s="1">
        <v>29</v>
      </c>
      <c r="B172" s="1" t="s">
        <v>39</v>
      </c>
      <c r="C172" s="1">
        <v>30.094999999999999</v>
      </c>
      <c r="D172" s="1">
        <v>0</v>
      </c>
      <c r="G172" s="1">
        <v>4206</v>
      </c>
      <c r="H172" s="1">
        <v>4838</v>
      </c>
      <c r="I172" s="1">
        <v>76.510000000000005</v>
      </c>
      <c r="K172" s="1">
        <v>0.32100000000000001</v>
      </c>
      <c r="M172" t="b">
        <f t="shared" si="20"/>
        <v>0</v>
      </c>
      <c r="N172">
        <f t="shared" si="15"/>
        <v>0</v>
      </c>
      <c r="O172">
        <f t="shared" si="16"/>
        <v>0</v>
      </c>
      <c r="P172">
        <f t="shared" si="21"/>
        <v>5</v>
      </c>
      <c r="R172">
        <f t="shared" si="17"/>
        <v>5</v>
      </c>
      <c r="S172">
        <f t="shared" si="18"/>
        <v>2</v>
      </c>
      <c r="T172">
        <f t="shared" si="19"/>
        <v>0</v>
      </c>
    </row>
    <row r="173" spans="1:20" x14ac:dyDescent="0.2">
      <c r="A173" s="1">
        <v>29</v>
      </c>
      <c r="B173" s="1" t="s">
        <v>39</v>
      </c>
      <c r="C173" s="1">
        <v>30.094999999999999</v>
      </c>
      <c r="D173" s="1">
        <v>1</v>
      </c>
      <c r="G173" s="1">
        <v>4203</v>
      </c>
      <c r="H173" s="1">
        <v>4833</v>
      </c>
      <c r="I173" s="1">
        <v>76.736000000000004</v>
      </c>
      <c r="K173" s="1">
        <v>0</v>
      </c>
      <c r="M173" t="b">
        <f t="shared" si="20"/>
        <v>0</v>
      </c>
      <c r="N173">
        <f t="shared" si="15"/>
        <v>0</v>
      </c>
      <c r="O173">
        <f t="shared" si="16"/>
        <v>1</v>
      </c>
      <c r="P173">
        <f t="shared" si="21"/>
        <v>6</v>
      </c>
      <c r="R173">
        <f t="shared" si="17"/>
        <v>6</v>
      </c>
      <c r="S173">
        <f t="shared" si="18"/>
        <v>2</v>
      </c>
      <c r="T173">
        <f t="shared" si="19"/>
        <v>0</v>
      </c>
    </row>
    <row r="174" spans="1:20" x14ac:dyDescent="0.2">
      <c r="A174" s="1">
        <v>30</v>
      </c>
      <c r="B174" s="1" t="s">
        <v>40</v>
      </c>
      <c r="C174" s="1">
        <v>30.091999999999999</v>
      </c>
      <c r="D174" s="1">
        <v>0</v>
      </c>
      <c r="E174" s="1">
        <v>5218</v>
      </c>
      <c r="F174" s="1">
        <v>3650</v>
      </c>
      <c r="I174" s="1">
        <v>94.293000000000006</v>
      </c>
      <c r="J174" s="1">
        <v>0.112</v>
      </c>
      <c r="M174" t="b">
        <f t="shared" si="20"/>
        <v>0</v>
      </c>
      <c r="N174">
        <f t="shared" si="15"/>
        <v>1</v>
      </c>
      <c r="O174">
        <f t="shared" si="16"/>
        <v>0</v>
      </c>
      <c r="P174">
        <f t="shared" si="21"/>
        <v>1</v>
      </c>
      <c r="R174">
        <f t="shared" si="17"/>
        <v>1</v>
      </c>
      <c r="S174">
        <f t="shared" si="18"/>
        <v>2</v>
      </c>
      <c r="T174">
        <f t="shared" si="19"/>
        <v>0</v>
      </c>
    </row>
    <row r="175" spans="1:20" x14ac:dyDescent="0.2">
      <c r="A175" s="1">
        <v>30</v>
      </c>
      <c r="B175" s="1" t="s">
        <v>40</v>
      </c>
      <c r="C175" s="1">
        <v>30.091999999999999</v>
      </c>
      <c r="D175" s="1">
        <v>1</v>
      </c>
      <c r="E175" s="1">
        <v>5216</v>
      </c>
      <c r="F175" s="1">
        <v>3649</v>
      </c>
      <c r="I175" s="1">
        <v>94.361999999999995</v>
      </c>
      <c r="J175" s="1">
        <v>0</v>
      </c>
      <c r="M175" t="b">
        <f t="shared" si="20"/>
        <v>0</v>
      </c>
      <c r="N175">
        <f t="shared" si="15"/>
        <v>1</v>
      </c>
      <c r="O175">
        <f t="shared" si="16"/>
        <v>1</v>
      </c>
      <c r="P175">
        <f t="shared" si="21"/>
        <v>2</v>
      </c>
      <c r="R175">
        <f t="shared" si="17"/>
        <v>2</v>
      </c>
      <c r="S175">
        <f t="shared" si="18"/>
        <v>2</v>
      </c>
      <c r="T175">
        <f t="shared" si="19"/>
        <v>0</v>
      </c>
    </row>
    <row r="176" spans="1:20" x14ac:dyDescent="0.2">
      <c r="A176" s="1">
        <v>30</v>
      </c>
      <c r="B176" s="1" t="s">
        <v>40</v>
      </c>
      <c r="C176" s="1">
        <v>30.091999999999999</v>
      </c>
      <c r="D176" s="1">
        <v>0</v>
      </c>
      <c r="E176" s="1">
        <v>596</v>
      </c>
      <c r="F176" s="1">
        <v>420</v>
      </c>
      <c r="I176" s="1">
        <v>15.63</v>
      </c>
      <c r="J176" s="1">
        <v>7.2759999999999998</v>
      </c>
      <c r="M176" t="b">
        <f t="shared" si="20"/>
        <v>1</v>
      </c>
      <c r="N176">
        <f t="shared" si="15"/>
        <v>1</v>
      </c>
      <c r="O176">
        <f t="shared" si="16"/>
        <v>0</v>
      </c>
      <c r="P176">
        <f t="shared" si="21"/>
        <v>3</v>
      </c>
      <c r="R176">
        <f t="shared" si="17"/>
        <v>3</v>
      </c>
      <c r="S176">
        <f t="shared" si="18"/>
        <v>2</v>
      </c>
      <c r="T176">
        <f t="shared" si="19"/>
        <v>0</v>
      </c>
    </row>
    <row r="177" spans="1:20" x14ac:dyDescent="0.2">
      <c r="A177" s="1">
        <v>30</v>
      </c>
      <c r="B177" s="1" t="s">
        <v>40</v>
      </c>
      <c r="C177" s="1">
        <v>30.091999999999999</v>
      </c>
      <c r="D177" s="1">
        <v>0</v>
      </c>
      <c r="G177" s="1">
        <v>574</v>
      </c>
      <c r="H177" s="1">
        <v>652</v>
      </c>
      <c r="I177" s="1">
        <v>15.063000000000001</v>
      </c>
      <c r="K177" s="1">
        <v>-13.247</v>
      </c>
      <c r="M177" t="b">
        <f t="shared" si="20"/>
        <v>1</v>
      </c>
      <c r="N177">
        <f t="shared" si="15"/>
        <v>0</v>
      </c>
      <c r="O177">
        <f t="shared" si="16"/>
        <v>0</v>
      </c>
      <c r="P177">
        <f t="shared" si="21"/>
        <v>4</v>
      </c>
      <c r="R177">
        <f t="shared" si="17"/>
        <v>4</v>
      </c>
      <c r="S177">
        <f t="shared" si="18"/>
        <v>2</v>
      </c>
      <c r="T177">
        <f t="shared" si="19"/>
        <v>0</v>
      </c>
    </row>
    <row r="178" spans="1:20" x14ac:dyDescent="0.2">
      <c r="A178" s="1">
        <v>30</v>
      </c>
      <c r="B178" s="1" t="s">
        <v>40</v>
      </c>
      <c r="C178" s="1">
        <v>30.091999999999999</v>
      </c>
      <c r="D178" s="1">
        <v>0</v>
      </c>
      <c r="G178" s="1">
        <v>4209</v>
      </c>
      <c r="H178" s="1">
        <v>4842</v>
      </c>
      <c r="I178" s="1">
        <v>76.561000000000007</v>
      </c>
      <c r="K178" s="1">
        <v>0.33200000000000002</v>
      </c>
      <c r="M178" t="b">
        <f t="shared" si="20"/>
        <v>0</v>
      </c>
      <c r="N178">
        <f t="shared" si="15"/>
        <v>0</v>
      </c>
      <c r="O178">
        <f t="shared" si="16"/>
        <v>0</v>
      </c>
      <c r="P178">
        <f t="shared" si="21"/>
        <v>5</v>
      </c>
      <c r="R178">
        <f t="shared" si="17"/>
        <v>5</v>
      </c>
      <c r="S178">
        <f t="shared" si="18"/>
        <v>2</v>
      </c>
      <c r="T178">
        <f t="shared" si="19"/>
        <v>0</v>
      </c>
    </row>
    <row r="179" spans="1:20" x14ac:dyDescent="0.2">
      <c r="A179" s="1">
        <v>30</v>
      </c>
      <c r="B179" s="1" t="s">
        <v>40</v>
      </c>
      <c r="C179" s="1">
        <v>30.091999999999999</v>
      </c>
      <c r="D179" s="1">
        <v>1</v>
      </c>
      <c r="G179" s="1">
        <v>4205</v>
      </c>
      <c r="H179" s="1">
        <v>4835</v>
      </c>
      <c r="I179" s="1">
        <v>76.822000000000003</v>
      </c>
      <c r="K179" s="1">
        <v>0</v>
      </c>
      <c r="M179" t="b">
        <f t="shared" si="20"/>
        <v>0</v>
      </c>
      <c r="N179">
        <f t="shared" si="15"/>
        <v>0</v>
      </c>
      <c r="O179">
        <f t="shared" si="16"/>
        <v>1</v>
      </c>
      <c r="P179">
        <f t="shared" si="21"/>
        <v>6</v>
      </c>
      <c r="R179">
        <f t="shared" si="17"/>
        <v>6</v>
      </c>
      <c r="S179">
        <f t="shared" si="18"/>
        <v>2</v>
      </c>
      <c r="T179">
        <f t="shared" si="19"/>
        <v>0</v>
      </c>
    </row>
    <row r="180" spans="1:20" x14ac:dyDescent="0.2">
      <c r="A180" s="1">
        <v>31</v>
      </c>
      <c r="B180" s="1" t="s">
        <v>41</v>
      </c>
      <c r="C180" s="1">
        <v>29.986000000000001</v>
      </c>
      <c r="D180" s="1">
        <v>0</v>
      </c>
      <c r="E180" s="1">
        <v>5223</v>
      </c>
      <c r="F180" s="1">
        <v>3654</v>
      </c>
      <c r="I180" s="1">
        <v>94.495000000000005</v>
      </c>
      <c r="J180" s="1">
        <v>8.4000000000000005E-2</v>
      </c>
      <c r="M180" t="b">
        <f t="shared" si="20"/>
        <v>0</v>
      </c>
      <c r="N180">
        <f t="shared" si="15"/>
        <v>1</v>
      </c>
      <c r="O180">
        <f t="shared" si="16"/>
        <v>0</v>
      </c>
      <c r="P180">
        <f t="shared" si="21"/>
        <v>1</v>
      </c>
      <c r="R180">
        <f t="shared" si="17"/>
        <v>1</v>
      </c>
      <c r="S180">
        <f t="shared" si="18"/>
        <v>2</v>
      </c>
      <c r="T180">
        <f t="shared" si="19"/>
        <v>0</v>
      </c>
    </row>
    <row r="181" spans="1:20" x14ac:dyDescent="0.2">
      <c r="A181" s="1">
        <v>31</v>
      </c>
      <c r="B181" s="1" t="s">
        <v>41</v>
      </c>
      <c r="C181" s="1">
        <v>29.986000000000001</v>
      </c>
      <c r="D181" s="1">
        <v>1</v>
      </c>
      <c r="E181" s="1">
        <v>5220</v>
      </c>
      <c r="F181" s="1">
        <v>3651</v>
      </c>
      <c r="I181" s="1">
        <v>94.403999999999996</v>
      </c>
      <c r="J181" s="1">
        <v>0</v>
      </c>
      <c r="M181" t="b">
        <f t="shared" si="20"/>
        <v>0</v>
      </c>
      <c r="N181">
        <f t="shared" si="15"/>
        <v>1</v>
      </c>
      <c r="O181">
        <f t="shared" si="16"/>
        <v>1</v>
      </c>
      <c r="P181">
        <f t="shared" si="21"/>
        <v>2</v>
      </c>
      <c r="R181">
        <f t="shared" si="17"/>
        <v>2</v>
      </c>
      <c r="S181">
        <f t="shared" si="18"/>
        <v>2</v>
      </c>
      <c r="T181">
        <f t="shared" si="19"/>
        <v>0</v>
      </c>
    </row>
    <row r="182" spans="1:20" x14ac:dyDescent="0.2">
      <c r="A182" s="1">
        <v>31</v>
      </c>
      <c r="B182" s="1" t="s">
        <v>41</v>
      </c>
      <c r="C182" s="1">
        <v>29.986000000000001</v>
      </c>
      <c r="D182" s="1">
        <v>0</v>
      </c>
      <c r="E182" s="1">
        <v>626</v>
      </c>
      <c r="F182" s="1">
        <v>442</v>
      </c>
      <c r="I182" s="1">
        <v>16.411000000000001</v>
      </c>
      <c r="J182" s="1">
        <v>7.0449999999999999</v>
      </c>
      <c r="M182" t="b">
        <f t="shared" si="20"/>
        <v>1</v>
      </c>
      <c r="N182">
        <f t="shared" si="15"/>
        <v>1</v>
      </c>
      <c r="O182">
        <f t="shared" si="16"/>
        <v>0</v>
      </c>
      <c r="P182">
        <f t="shared" si="21"/>
        <v>3</v>
      </c>
      <c r="R182">
        <f t="shared" si="17"/>
        <v>3</v>
      </c>
      <c r="S182">
        <f t="shared" si="18"/>
        <v>2</v>
      </c>
      <c r="T182">
        <f t="shared" si="19"/>
        <v>0</v>
      </c>
    </row>
    <row r="183" spans="1:20" x14ac:dyDescent="0.2">
      <c r="A183" s="1">
        <v>31</v>
      </c>
      <c r="B183" s="1" t="s">
        <v>41</v>
      </c>
      <c r="C183" s="1">
        <v>29.986000000000001</v>
      </c>
      <c r="D183" s="1">
        <v>0</v>
      </c>
      <c r="G183" s="1">
        <v>666</v>
      </c>
      <c r="H183" s="1">
        <v>757</v>
      </c>
      <c r="I183" s="1">
        <v>17.545999999999999</v>
      </c>
      <c r="K183" s="1">
        <v>-13.723000000000001</v>
      </c>
      <c r="M183" t="b">
        <f t="shared" si="20"/>
        <v>1</v>
      </c>
      <c r="N183">
        <f t="shared" si="15"/>
        <v>0</v>
      </c>
      <c r="O183">
        <f t="shared" si="16"/>
        <v>0</v>
      </c>
      <c r="P183">
        <f t="shared" si="21"/>
        <v>4</v>
      </c>
      <c r="R183">
        <f t="shared" si="17"/>
        <v>4</v>
      </c>
      <c r="S183">
        <f t="shared" si="18"/>
        <v>2</v>
      </c>
      <c r="T183">
        <f t="shared" si="19"/>
        <v>0</v>
      </c>
    </row>
    <row r="184" spans="1:20" x14ac:dyDescent="0.2">
      <c r="A184" s="1">
        <v>31</v>
      </c>
      <c r="B184" s="1" t="s">
        <v>41</v>
      </c>
      <c r="C184" s="1">
        <v>29.986000000000001</v>
      </c>
      <c r="D184" s="1">
        <v>0</v>
      </c>
      <c r="G184" s="1">
        <v>4208</v>
      </c>
      <c r="H184" s="1">
        <v>4840</v>
      </c>
      <c r="I184" s="1">
        <v>76.52</v>
      </c>
      <c r="K184" s="1">
        <v>0.317</v>
      </c>
      <c r="M184" t="b">
        <f t="shared" si="20"/>
        <v>0</v>
      </c>
      <c r="N184">
        <f t="shared" si="15"/>
        <v>0</v>
      </c>
      <c r="O184">
        <f t="shared" si="16"/>
        <v>0</v>
      </c>
      <c r="P184">
        <f t="shared" si="21"/>
        <v>5</v>
      </c>
      <c r="R184">
        <f t="shared" si="17"/>
        <v>5</v>
      </c>
      <c r="S184">
        <f t="shared" si="18"/>
        <v>2</v>
      </c>
      <c r="T184">
        <f t="shared" si="19"/>
        <v>0</v>
      </c>
    </row>
    <row r="185" spans="1:20" x14ac:dyDescent="0.2">
      <c r="A185" s="1">
        <v>31</v>
      </c>
      <c r="B185" s="1" t="s">
        <v>41</v>
      </c>
      <c r="C185" s="1">
        <v>29.986000000000001</v>
      </c>
      <c r="D185" s="1">
        <v>1</v>
      </c>
      <c r="G185" s="1">
        <v>4205</v>
      </c>
      <c r="H185" s="1">
        <v>4836</v>
      </c>
      <c r="I185" s="1">
        <v>76.795000000000002</v>
      </c>
      <c r="K185" s="1">
        <v>0</v>
      </c>
      <c r="M185" t="b">
        <f t="shared" si="20"/>
        <v>0</v>
      </c>
      <c r="N185">
        <f t="shared" si="15"/>
        <v>0</v>
      </c>
      <c r="O185">
        <f t="shared" si="16"/>
        <v>1</v>
      </c>
      <c r="P185">
        <f t="shared" si="21"/>
        <v>6</v>
      </c>
      <c r="R185">
        <f t="shared" si="17"/>
        <v>6</v>
      </c>
      <c r="S185">
        <f t="shared" si="18"/>
        <v>2</v>
      </c>
      <c r="T185">
        <f t="shared" si="19"/>
        <v>0</v>
      </c>
    </row>
    <row r="186" spans="1:20" x14ac:dyDescent="0.2">
      <c r="A186" s="1">
        <v>32</v>
      </c>
      <c r="B186" s="1" t="s">
        <v>42</v>
      </c>
      <c r="C186" s="1">
        <v>29.702999999999999</v>
      </c>
      <c r="D186" s="1">
        <v>0</v>
      </c>
      <c r="E186" s="1">
        <v>5222</v>
      </c>
      <c r="F186" s="1">
        <v>3653</v>
      </c>
      <c r="I186" s="1">
        <v>94.372</v>
      </c>
      <c r="J186" s="1">
        <v>0.08</v>
      </c>
      <c r="M186" t="b">
        <f t="shared" si="20"/>
        <v>0</v>
      </c>
      <c r="N186">
        <f t="shared" si="15"/>
        <v>1</v>
      </c>
      <c r="O186">
        <f t="shared" si="16"/>
        <v>0</v>
      </c>
      <c r="P186">
        <f t="shared" si="21"/>
        <v>1</v>
      </c>
      <c r="R186">
        <f t="shared" si="17"/>
        <v>1</v>
      </c>
      <c r="S186">
        <f t="shared" si="18"/>
        <v>2</v>
      </c>
      <c r="T186">
        <f t="shared" si="19"/>
        <v>0</v>
      </c>
    </row>
    <row r="187" spans="1:20" x14ac:dyDescent="0.2">
      <c r="A187" s="1">
        <v>32</v>
      </c>
      <c r="B187" s="1" t="s">
        <v>42</v>
      </c>
      <c r="C187" s="1">
        <v>29.702999999999999</v>
      </c>
      <c r="D187" s="1">
        <v>1</v>
      </c>
      <c r="E187" s="1">
        <v>5219</v>
      </c>
      <c r="F187" s="1">
        <v>3651</v>
      </c>
      <c r="I187" s="1">
        <v>94.435000000000002</v>
      </c>
      <c r="J187" s="1">
        <v>0</v>
      </c>
      <c r="M187" t="b">
        <f t="shared" si="20"/>
        <v>0</v>
      </c>
      <c r="N187">
        <f t="shared" si="15"/>
        <v>1</v>
      </c>
      <c r="O187">
        <f t="shared" si="16"/>
        <v>1</v>
      </c>
      <c r="P187">
        <f t="shared" si="21"/>
        <v>2</v>
      </c>
      <c r="R187">
        <f t="shared" si="17"/>
        <v>2</v>
      </c>
      <c r="S187">
        <f t="shared" si="18"/>
        <v>2</v>
      </c>
      <c r="T187">
        <f t="shared" si="19"/>
        <v>0</v>
      </c>
    </row>
    <row r="188" spans="1:20" x14ac:dyDescent="0.2">
      <c r="A188" s="1">
        <v>32</v>
      </c>
      <c r="B188" s="1" t="s">
        <v>42</v>
      </c>
      <c r="C188" s="1">
        <v>29.702999999999999</v>
      </c>
      <c r="D188" s="1">
        <v>0</v>
      </c>
      <c r="E188" s="1">
        <v>686</v>
      </c>
      <c r="F188" s="1">
        <v>484</v>
      </c>
      <c r="I188" s="1">
        <v>18.084</v>
      </c>
      <c r="J188" s="1">
        <v>7.04</v>
      </c>
      <c r="M188" t="b">
        <f t="shared" si="20"/>
        <v>1</v>
      </c>
      <c r="N188">
        <f t="shared" si="15"/>
        <v>1</v>
      </c>
      <c r="O188">
        <f t="shared" si="16"/>
        <v>0</v>
      </c>
      <c r="P188">
        <f t="shared" si="21"/>
        <v>3</v>
      </c>
      <c r="R188">
        <f t="shared" si="17"/>
        <v>3</v>
      </c>
      <c r="S188">
        <f t="shared" si="18"/>
        <v>2</v>
      </c>
      <c r="T188">
        <f t="shared" si="19"/>
        <v>0</v>
      </c>
    </row>
    <row r="189" spans="1:20" x14ac:dyDescent="0.2">
      <c r="A189" s="1">
        <v>32</v>
      </c>
      <c r="B189" s="1" t="s">
        <v>42</v>
      </c>
      <c r="C189" s="1">
        <v>29.702999999999999</v>
      </c>
      <c r="D189" s="1">
        <v>0</v>
      </c>
      <c r="G189" s="1">
        <v>569</v>
      </c>
      <c r="H189" s="1">
        <v>648</v>
      </c>
      <c r="I189" s="1">
        <v>15.035</v>
      </c>
      <c r="K189" s="1">
        <v>-13.218999999999999</v>
      </c>
      <c r="M189" t="b">
        <f t="shared" si="20"/>
        <v>1</v>
      </c>
      <c r="N189">
        <f t="shared" si="15"/>
        <v>0</v>
      </c>
      <c r="O189">
        <f t="shared" si="16"/>
        <v>0</v>
      </c>
      <c r="P189">
        <f t="shared" si="21"/>
        <v>4</v>
      </c>
      <c r="R189">
        <f t="shared" si="17"/>
        <v>4</v>
      </c>
      <c r="S189">
        <f t="shared" si="18"/>
        <v>2</v>
      </c>
      <c r="T189">
        <f t="shared" si="19"/>
        <v>0</v>
      </c>
    </row>
    <row r="190" spans="1:20" x14ac:dyDescent="0.2">
      <c r="A190" s="1">
        <v>32</v>
      </c>
      <c r="B190" s="1" t="s">
        <v>42</v>
      </c>
      <c r="C190" s="1">
        <v>29.702999999999999</v>
      </c>
      <c r="D190" s="1">
        <v>0</v>
      </c>
      <c r="G190" s="1">
        <v>4209</v>
      </c>
      <c r="H190" s="1">
        <v>4841</v>
      </c>
      <c r="I190" s="1">
        <v>76.566000000000003</v>
      </c>
      <c r="K190" s="1">
        <v>0.33200000000000002</v>
      </c>
      <c r="M190" t="b">
        <f t="shared" si="20"/>
        <v>0</v>
      </c>
      <c r="N190">
        <f t="shared" si="15"/>
        <v>0</v>
      </c>
      <c r="O190">
        <f t="shared" si="16"/>
        <v>0</v>
      </c>
      <c r="P190">
        <f t="shared" si="21"/>
        <v>5</v>
      </c>
      <c r="R190">
        <f t="shared" si="17"/>
        <v>5</v>
      </c>
      <c r="S190">
        <f t="shared" si="18"/>
        <v>2</v>
      </c>
      <c r="T190">
        <f t="shared" si="19"/>
        <v>0</v>
      </c>
    </row>
    <row r="191" spans="1:20" x14ac:dyDescent="0.2">
      <c r="A191" s="1">
        <v>32</v>
      </c>
      <c r="B191" s="1" t="s">
        <v>42</v>
      </c>
      <c r="C191" s="1">
        <v>29.702999999999999</v>
      </c>
      <c r="D191" s="1">
        <v>1</v>
      </c>
      <c r="G191" s="1">
        <v>4206</v>
      </c>
      <c r="H191" s="1">
        <v>4837</v>
      </c>
      <c r="I191" s="1">
        <v>76.805000000000007</v>
      </c>
      <c r="K191" s="1">
        <v>0</v>
      </c>
      <c r="M191" t="b">
        <f t="shared" si="20"/>
        <v>0</v>
      </c>
      <c r="N191">
        <f t="shared" si="15"/>
        <v>0</v>
      </c>
      <c r="O191">
        <f t="shared" si="16"/>
        <v>1</v>
      </c>
      <c r="P191">
        <f t="shared" si="21"/>
        <v>6</v>
      </c>
      <c r="R191">
        <f t="shared" si="17"/>
        <v>6</v>
      </c>
      <c r="S191">
        <f t="shared" si="18"/>
        <v>2</v>
      </c>
      <c r="T191">
        <f t="shared" si="19"/>
        <v>0</v>
      </c>
    </row>
    <row r="192" spans="1:20" x14ac:dyDescent="0.2">
      <c r="A192" s="1">
        <v>33</v>
      </c>
      <c r="B192" s="1" t="s">
        <v>43</v>
      </c>
      <c r="C192" s="1">
        <v>30.353000000000002</v>
      </c>
      <c r="D192" s="1">
        <v>0</v>
      </c>
      <c r="E192" s="1">
        <v>5224</v>
      </c>
      <c r="F192" s="1">
        <v>3654</v>
      </c>
      <c r="I192" s="1">
        <v>94.429000000000002</v>
      </c>
      <c r="J192" s="1">
        <v>7.8E-2</v>
      </c>
      <c r="M192" t="b">
        <f t="shared" si="20"/>
        <v>0</v>
      </c>
      <c r="N192">
        <f t="shared" si="15"/>
        <v>1</v>
      </c>
      <c r="O192">
        <f t="shared" si="16"/>
        <v>0</v>
      </c>
      <c r="P192">
        <f t="shared" si="21"/>
        <v>1</v>
      </c>
      <c r="R192">
        <f t="shared" si="17"/>
        <v>1</v>
      </c>
      <c r="S192">
        <f t="shared" si="18"/>
        <v>2</v>
      </c>
      <c r="T192">
        <f t="shared" si="19"/>
        <v>0</v>
      </c>
    </row>
    <row r="193" spans="1:20" x14ac:dyDescent="0.2">
      <c r="A193" s="1">
        <v>33</v>
      </c>
      <c r="B193" s="1" t="s">
        <v>43</v>
      </c>
      <c r="C193" s="1">
        <v>30.353000000000002</v>
      </c>
      <c r="D193" s="1">
        <v>1</v>
      </c>
      <c r="E193" s="1">
        <v>5223</v>
      </c>
      <c r="F193" s="1">
        <v>3654</v>
      </c>
      <c r="I193" s="1">
        <v>94.47</v>
      </c>
      <c r="J193" s="1">
        <v>0</v>
      </c>
      <c r="M193" t="b">
        <f t="shared" si="20"/>
        <v>0</v>
      </c>
      <c r="N193">
        <f t="shared" si="15"/>
        <v>1</v>
      </c>
      <c r="O193">
        <f t="shared" si="16"/>
        <v>1</v>
      </c>
      <c r="P193">
        <f t="shared" si="21"/>
        <v>2</v>
      </c>
      <c r="R193">
        <f t="shared" si="17"/>
        <v>2</v>
      </c>
      <c r="S193">
        <f t="shared" si="18"/>
        <v>2</v>
      </c>
      <c r="T193">
        <f t="shared" si="19"/>
        <v>0</v>
      </c>
    </row>
    <row r="194" spans="1:20" x14ac:dyDescent="0.2">
      <c r="A194" s="1">
        <v>33</v>
      </c>
      <c r="B194" s="1" t="s">
        <v>43</v>
      </c>
      <c r="C194" s="1">
        <v>30.353000000000002</v>
      </c>
      <c r="D194" s="1">
        <v>0</v>
      </c>
      <c r="E194" s="1">
        <v>636</v>
      </c>
      <c r="F194" s="1">
        <v>449</v>
      </c>
      <c r="I194" s="1">
        <v>16.548999999999999</v>
      </c>
      <c r="J194" s="1">
        <v>7.1390000000000002</v>
      </c>
      <c r="M194" t="b">
        <f t="shared" si="20"/>
        <v>1</v>
      </c>
      <c r="N194">
        <f t="shared" si="15"/>
        <v>1</v>
      </c>
      <c r="O194">
        <f t="shared" si="16"/>
        <v>0</v>
      </c>
      <c r="P194">
        <f t="shared" si="21"/>
        <v>3</v>
      </c>
      <c r="R194">
        <f t="shared" si="17"/>
        <v>3</v>
      </c>
      <c r="S194">
        <f t="shared" si="18"/>
        <v>2</v>
      </c>
      <c r="T194">
        <f t="shared" si="19"/>
        <v>0</v>
      </c>
    </row>
    <row r="195" spans="1:20" x14ac:dyDescent="0.2">
      <c r="A195" s="1">
        <v>33</v>
      </c>
      <c r="B195" s="1" t="s">
        <v>43</v>
      </c>
      <c r="C195" s="1">
        <v>30.353000000000002</v>
      </c>
      <c r="D195" s="1">
        <v>0</v>
      </c>
      <c r="G195" s="1">
        <v>954</v>
      </c>
      <c r="H195" s="1">
        <v>1084</v>
      </c>
      <c r="I195" s="1">
        <v>25.300999999999998</v>
      </c>
      <c r="K195" s="1">
        <v>-14.734</v>
      </c>
      <c r="M195" t="b">
        <f t="shared" si="20"/>
        <v>1</v>
      </c>
      <c r="N195">
        <f t="shared" ref="N195:N258" si="22">IF(A195&gt;0,IF(E195&gt;0,1,0),0)</f>
        <v>0</v>
      </c>
      <c r="O195">
        <f t="shared" ref="O195:O258" si="23">D195</f>
        <v>0</v>
      </c>
      <c r="P195">
        <f t="shared" si="21"/>
        <v>4</v>
      </c>
      <c r="R195">
        <f t="shared" ref="R195:R258" si="24">IF(A195&gt;0,IF(A195=A194,R194+1,1),0)</f>
        <v>4</v>
      </c>
      <c r="S195">
        <f t="shared" si="18"/>
        <v>2</v>
      </c>
      <c r="T195">
        <f t="shared" si="19"/>
        <v>0</v>
      </c>
    </row>
    <row r="196" spans="1:20" x14ac:dyDescent="0.2">
      <c r="A196" s="1">
        <v>33</v>
      </c>
      <c r="B196" s="1" t="s">
        <v>43</v>
      </c>
      <c r="C196" s="1">
        <v>30.353000000000002</v>
      </c>
      <c r="D196" s="1">
        <v>0</v>
      </c>
      <c r="G196" s="1">
        <v>4209</v>
      </c>
      <c r="H196" s="1">
        <v>4842</v>
      </c>
      <c r="I196" s="1">
        <v>76.582999999999998</v>
      </c>
      <c r="K196" s="1">
        <v>0.312</v>
      </c>
      <c r="M196" t="b">
        <f t="shared" si="20"/>
        <v>0</v>
      </c>
      <c r="N196">
        <f t="shared" si="22"/>
        <v>0</v>
      </c>
      <c r="O196">
        <f t="shared" si="23"/>
        <v>0</v>
      </c>
      <c r="P196">
        <f t="shared" si="21"/>
        <v>5</v>
      </c>
      <c r="R196">
        <f t="shared" si="24"/>
        <v>5</v>
      </c>
      <c r="S196">
        <f t="shared" ref="S196:S259" si="25">IF(A196&gt;0,IF(OR(R196=P196,P196-R196=P195-R195),S195,S195+P196-R196),0)</f>
        <v>2</v>
      </c>
      <c r="T196">
        <f t="shared" ref="T196:T259" si="26">IF(A196&gt;0,IF(AND(P196=6,P195=3,R196=4),T195+1,T195),0)</f>
        <v>0</v>
      </c>
    </row>
    <row r="197" spans="1:20" x14ac:dyDescent="0.2">
      <c r="A197" s="1">
        <v>33</v>
      </c>
      <c r="B197" s="1" t="s">
        <v>43</v>
      </c>
      <c r="C197" s="1">
        <v>30.353000000000002</v>
      </c>
      <c r="D197" s="1">
        <v>1</v>
      </c>
      <c r="G197" s="1">
        <v>4205</v>
      </c>
      <c r="H197" s="1">
        <v>4836</v>
      </c>
      <c r="I197" s="1">
        <v>76.78</v>
      </c>
      <c r="K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0</v>
      </c>
      <c r="O197">
        <f t="shared" si="23"/>
        <v>1</v>
      </c>
      <c r="P197">
        <f t="shared" si="21"/>
        <v>6</v>
      </c>
      <c r="R197">
        <f t="shared" si="24"/>
        <v>6</v>
      </c>
      <c r="S197">
        <f t="shared" si="25"/>
        <v>2</v>
      </c>
      <c r="T197">
        <f t="shared" si="26"/>
        <v>0</v>
      </c>
    </row>
    <row r="198" spans="1:20" x14ac:dyDescent="0.2">
      <c r="A198" s="1">
        <v>34</v>
      </c>
      <c r="B198" s="1" t="s">
        <v>44</v>
      </c>
      <c r="C198" s="1">
        <v>30.434000000000001</v>
      </c>
      <c r="D198" s="1">
        <v>0</v>
      </c>
      <c r="E198" s="1">
        <v>5222</v>
      </c>
      <c r="F198" s="1">
        <v>3653</v>
      </c>
      <c r="I198" s="1">
        <v>94.468000000000004</v>
      </c>
      <c r="J198" s="1">
        <v>7.0999999999999994E-2</v>
      </c>
      <c r="M198" t="b">
        <f t="shared" si="27"/>
        <v>0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1</v>
      </c>
      <c r="R198">
        <f t="shared" si="24"/>
        <v>1</v>
      </c>
      <c r="S198">
        <f t="shared" si="25"/>
        <v>2</v>
      </c>
      <c r="T198">
        <f t="shared" si="26"/>
        <v>0</v>
      </c>
    </row>
    <row r="199" spans="1:20" x14ac:dyDescent="0.2">
      <c r="A199" s="1">
        <v>34</v>
      </c>
      <c r="B199" s="1" t="s">
        <v>44</v>
      </c>
      <c r="C199" s="1">
        <v>30.434000000000001</v>
      </c>
      <c r="D199" s="1">
        <v>1</v>
      </c>
      <c r="E199" s="1">
        <v>5220</v>
      </c>
      <c r="F199" s="1">
        <v>3652</v>
      </c>
      <c r="I199" s="1">
        <v>94.421000000000006</v>
      </c>
      <c r="J199" s="1">
        <v>0</v>
      </c>
      <c r="M199" t="b">
        <f t="shared" si="27"/>
        <v>0</v>
      </c>
      <c r="N199">
        <f t="shared" si="22"/>
        <v>1</v>
      </c>
      <c r="O199">
        <f t="shared" si="23"/>
        <v>1</v>
      </c>
      <c r="P199">
        <f t="shared" si="28"/>
        <v>2</v>
      </c>
      <c r="R199">
        <f t="shared" si="24"/>
        <v>2</v>
      </c>
      <c r="S199">
        <f t="shared" si="25"/>
        <v>2</v>
      </c>
      <c r="T199">
        <f t="shared" si="26"/>
        <v>0</v>
      </c>
    </row>
    <row r="200" spans="1:20" x14ac:dyDescent="0.2">
      <c r="A200" s="1">
        <v>34</v>
      </c>
      <c r="B200" s="1" t="s">
        <v>44</v>
      </c>
      <c r="C200" s="1">
        <v>30.434000000000001</v>
      </c>
      <c r="D200" s="1">
        <v>0</v>
      </c>
      <c r="G200" s="1">
        <v>4204</v>
      </c>
      <c r="H200" s="1">
        <v>4836</v>
      </c>
      <c r="I200" s="1">
        <v>76.445999999999998</v>
      </c>
      <c r="K200" s="1">
        <v>0.33500000000000002</v>
      </c>
      <c r="M200" t="b">
        <f t="shared" si="27"/>
        <v>0</v>
      </c>
      <c r="N200">
        <f t="shared" si="22"/>
        <v>0</v>
      </c>
      <c r="O200">
        <f t="shared" si="23"/>
        <v>0</v>
      </c>
      <c r="P200">
        <f t="shared" si="28"/>
        <v>5</v>
      </c>
      <c r="R200">
        <f t="shared" si="24"/>
        <v>3</v>
      </c>
      <c r="S200">
        <f t="shared" si="25"/>
        <v>4</v>
      </c>
      <c r="T200">
        <f t="shared" si="26"/>
        <v>0</v>
      </c>
    </row>
    <row r="201" spans="1:20" x14ac:dyDescent="0.2">
      <c r="A201" s="1">
        <v>34</v>
      </c>
      <c r="B201" s="1" t="s">
        <v>44</v>
      </c>
      <c r="C201" s="1">
        <v>30.434000000000001</v>
      </c>
      <c r="D201" s="1">
        <v>1</v>
      </c>
      <c r="G201" s="1">
        <v>4203</v>
      </c>
      <c r="H201" s="1">
        <v>4834</v>
      </c>
      <c r="I201" s="1">
        <v>76.741</v>
      </c>
      <c r="K201" s="1">
        <v>0</v>
      </c>
      <c r="M201" t="b">
        <f t="shared" si="27"/>
        <v>0</v>
      </c>
      <c r="N201">
        <f t="shared" si="22"/>
        <v>0</v>
      </c>
      <c r="O201">
        <f t="shared" si="23"/>
        <v>1</v>
      </c>
      <c r="P201">
        <f t="shared" si="28"/>
        <v>6</v>
      </c>
      <c r="R201">
        <f t="shared" si="24"/>
        <v>4</v>
      </c>
      <c r="S201">
        <f t="shared" si="25"/>
        <v>4</v>
      </c>
      <c r="T201">
        <f t="shared" si="26"/>
        <v>0</v>
      </c>
    </row>
    <row r="202" spans="1:20" x14ac:dyDescent="0.2">
      <c r="A202" s="1">
        <v>35</v>
      </c>
      <c r="B202" s="1" t="s">
        <v>45</v>
      </c>
      <c r="C202" s="1">
        <v>29.867000000000001</v>
      </c>
      <c r="D202" s="1">
        <v>0</v>
      </c>
      <c r="E202" s="1">
        <v>5216</v>
      </c>
      <c r="F202" s="1">
        <v>3649</v>
      </c>
      <c r="I202" s="1">
        <v>94.388000000000005</v>
      </c>
      <c r="J202" s="1">
        <v>9.7000000000000003E-2</v>
      </c>
      <c r="M202" t="b">
        <f t="shared" si="27"/>
        <v>0</v>
      </c>
      <c r="N202">
        <f t="shared" si="22"/>
        <v>1</v>
      </c>
      <c r="O202">
        <f t="shared" si="23"/>
        <v>0</v>
      </c>
      <c r="P202">
        <f t="shared" si="28"/>
        <v>1</v>
      </c>
      <c r="R202">
        <f t="shared" si="24"/>
        <v>1</v>
      </c>
      <c r="S202">
        <f t="shared" si="25"/>
        <v>4</v>
      </c>
      <c r="T202">
        <f t="shared" si="26"/>
        <v>0</v>
      </c>
    </row>
    <row r="203" spans="1:20" x14ac:dyDescent="0.2">
      <c r="A203" s="1">
        <v>35</v>
      </c>
      <c r="B203" s="1" t="s">
        <v>45</v>
      </c>
      <c r="C203" s="1">
        <v>29.867000000000001</v>
      </c>
      <c r="D203" s="1">
        <v>1</v>
      </c>
      <c r="E203" s="1">
        <v>5215</v>
      </c>
      <c r="F203" s="1">
        <v>3648</v>
      </c>
      <c r="I203" s="1">
        <v>94.436999999999998</v>
      </c>
      <c r="J203" s="1">
        <v>0</v>
      </c>
      <c r="M203" t="b">
        <f t="shared" si="27"/>
        <v>0</v>
      </c>
      <c r="N203">
        <f t="shared" si="22"/>
        <v>1</v>
      </c>
      <c r="O203">
        <f t="shared" si="23"/>
        <v>1</v>
      </c>
      <c r="P203">
        <f t="shared" si="28"/>
        <v>2</v>
      </c>
      <c r="R203">
        <f t="shared" si="24"/>
        <v>2</v>
      </c>
      <c r="S203">
        <f t="shared" si="25"/>
        <v>4</v>
      </c>
      <c r="T203">
        <f t="shared" si="26"/>
        <v>0</v>
      </c>
    </row>
    <row r="204" spans="1:20" x14ac:dyDescent="0.2">
      <c r="A204" s="1">
        <v>35</v>
      </c>
      <c r="B204" s="1" t="s">
        <v>45</v>
      </c>
      <c r="C204" s="1">
        <v>29.867000000000001</v>
      </c>
      <c r="D204" s="1">
        <v>0</v>
      </c>
      <c r="E204" s="1">
        <v>808</v>
      </c>
      <c r="F204" s="1">
        <v>570</v>
      </c>
      <c r="I204" s="1">
        <v>20.805</v>
      </c>
      <c r="J204" s="1">
        <v>7.8710000000000004</v>
      </c>
      <c r="M204" t="b">
        <f t="shared" si="27"/>
        <v>1</v>
      </c>
      <c r="N204">
        <f t="shared" si="22"/>
        <v>1</v>
      </c>
      <c r="O204">
        <f t="shared" si="23"/>
        <v>0</v>
      </c>
      <c r="P204">
        <f t="shared" si="28"/>
        <v>3</v>
      </c>
      <c r="R204">
        <f t="shared" si="24"/>
        <v>3</v>
      </c>
      <c r="S204">
        <f t="shared" si="25"/>
        <v>4</v>
      </c>
      <c r="T204">
        <f t="shared" si="26"/>
        <v>0</v>
      </c>
    </row>
    <row r="205" spans="1:20" x14ac:dyDescent="0.2">
      <c r="A205" s="1">
        <v>35</v>
      </c>
      <c r="B205" s="1" t="s">
        <v>45</v>
      </c>
      <c r="C205" s="1">
        <v>29.867000000000001</v>
      </c>
      <c r="D205" s="1">
        <v>0</v>
      </c>
      <c r="G205" s="1">
        <v>1201</v>
      </c>
      <c r="H205" s="1">
        <v>1365</v>
      </c>
      <c r="I205" s="1">
        <v>32.21</v>
      </c>
      <c r="K205" s="1">
        <v>-14.930999999999999</v>
      </c>
      <c r="M205" t="b">
        <f t="shared" si="27"/>
        <v>1</v>
      </c>
      <c r="N205">
        <f t="shared" si="22"/>
        <v>0</v>
      </c>
      <c r="O205">
        <f t="shared" si="23"/>
        <v>0</v>
      </c>
      <c r="P205">
        <f t="shared" si="28"/>
        <v>4</v>
      </c>
      <c r="R205">
        <f t="shared" si="24"/>
        <v>4</v>
      </c>
      <c r="S205">
        <f t="shared" si="25"/>
        <v>4</v>
      </c>
      <c r="T205">
        <f t="shared" si="26"/>
        <v>0</v>
      </c>
    </row>
    <row r="206" spans="1:20" x14ac:dyDescent="0.2">
      <c r="A206" s="1">
        <v>35</v>
      </c>
      <c r="B206" s="1" t="s">
        <v>45</v>
      </c>
      <c r="C206" s="1">
        <v>29.867000000000001</v>
      </c>
      <c r="D206" s="1">
        <v>0</v>
      </c>
      <c r="G206" s="1">
        <v>4206</v>
      </c>
      <c r="H206" s="1">
        <v>4838</v>
      </c>
      <c r="I206" s="1">
        <v>76.536000000000001</v>
      </c>
      <c r="K206" s="1">
        <v>0.28899999999999998</v>
      </c>
      <c r="M206" t="b">
        <f t="shared" si="27"/>
        <v>0</v>
      </c>
      <c r="N206">
        <f t="shared" si="22"/>
        <v>0</v>
      </c>
      <c r="O206">
        <f t="shared" si="23"/>
        <v>0</v>
      </c>
      <c r="P206">
        <f t="shared" si="28"/>
        <v>5</v>
      </c>
      <c r="R206">
        <f t="shared" si="24"/>
        <v>5</v>
      </c>
      <c r="S206">
        <f t="shared" si="25"/>
        <v>4</v>
      </c>
      <c r="T206">
        <f t="shared" si="26"/>
        <v>0</v>
      </c>
    </row>
    <row r="207" spans="1:20" x14ac:dyDescent="0.2">
      <c r="A207" s="1">
        <v>35</v>
      </c>
      <c r="B207" s="1" t="s">
        <v>45</v>
      </c>
      <c r="C207" s="1">
        <v>29.867000000000001</v>
      </c>
      <c r="D207" s="1">
        <v>1</v>
      </c>
      <c r="G207" s="1">
        <v>4205</v>
      </c>
      <c r="H207" s="1">
        <v>4836</v>
      </c>
      <c r="I207" s="1">
        <v>76.747</v>
      </c>
      <c r="K207" s="1">
        <v>0</v>
      </c>
      <c r="M207" t="b">
        <f t="shared" si="27"/>
        <v>0</v>
      </c>
      <c r="N207">
        <f t="shared" si="22"/>
        <v>0</v>
      </c>
      <c r="O207">
        <f t="shared" si="23"/>
        <v>1</v>
      </c>
      <c r="P207">
        <f t="shared" si="28"/>
        <v>6</v>
      </c>
      <c r="R207">
        <f t="shared" si="24"/>
        <v>6</v>
      </c>
      <c r="S207">
        <f t="shared" si="25"/>
        <v>4</v>
      </c>
      <c r="T207">
        <f t="shared" si="26"/>
        <v>0</v>
      </c>
    </row>
    <row r="208" spans="1:20" x14ac:dyDescent="0.2">
      <c r="A208" s="1">
        <v>36</v>
      </c>
      <c r="B208" s="1" t="s">
        <v>46</v>
      </c>
      <c r="C208" s="1">
        <v>11.997</v>
      </c>
      <c r="D208" s="1">
        <v>0</v>
      </c>
      <c r="E208" s="1">
        <v>5220</v>
      </c>
      <c r="F208" s="1">
        <v>3653</v>
      </c>
      <c r="I208" s="1">
        <v>94.326999999999998</v>
      </c>
      <c r="J208" s="1">
        <v>6.6000000000000003E-2</v>
      </c>
      <c r="M208" t="b">
        <f t="shared" si="27"/>
        <v>0</v>
      </c>
      <c r="N208">
        <f t="shared" si="22"/>
        <v>1</v>
      </c>
      <c r="O208">
        <f t="shared" si="23"/>
        <v>0</v>
      </c>
      <c r="P208">
        <f t="shared" si="28"/>
        <v>1</v>
      </c>
      <c r="R208">
        <f t="shared" si="24"/>
        <v>1</v>
      </c>
      <c r="S208">
        <f t="shared" si="25"/>
        <v>4</v>
      </c>
      <c r="T208">
        <f t="shared" si="26"/>
        <v>0</v>
      </c>
    </row>
    <row r="209" spans="1:20" x14ac:dyDescent="0.2">
      <c r="A209" s="1">
        <v>36</v>
      </c>
      <c r="B209" s="1" t="s">
        <v>46</v>
      </c>
      <c r="C209" s="1">
        <v>11.997</v>
      </c>
      <c r="D209" s="1">
        <v>1</v>
      </c>
      <c r="E209" s="1">
        <v>5219</v>
      </c>
      <c r="F209" s="1">
        <v>3651</v>
      </c>
      <c r="I209" s="1">
        <v>94.388000000000005</v>
      </c>
      <c r="J209" s="1">
        <v>0</v>
      </c>
      <c r="M209" t="b">
        <f t="shared" si="27"/>
        <v>0</v>
      </c>
      <c r="N209">
        <f t="shared" si="22"/>
        <v>1</v>
      </c>
      <c r="O209">
        <f t="shared" si="23"/>
        <v>1</v>
      </c>
      <c r="P209">
        <f t="shared" si="28"/>
        <v>2</v>
      </c>
      <c r="R209">
        <f t="shared" si="24"/>
        <v>2</v>
      </c>
      <c r="S209">
        <f t="shared" si="25"/>
        <v>4</v>
      </c>
      <c r="T209">
        <f t="shared" si="26"/>
        <v>0</v>
      </c>
    </row>
    <row r="210" spans="1:20" x14ac:dyDescent="0.2">
      <c r="A210" s="1">
        <v>36</v>
      </c>
      <c r="B210" s="1" t="s">
        <v>46</v>
      </c>
      <c r="C210" s="1">
        <v>11.997</v>
      </c>
      <c r="D210" s="1">
        <v>0</v>
      </c>
      <c r="E210" s="1">
        <v>623</v>
      </c>
      <c r="F210" s="1">
        <v>439</v>
      </c>
      <c r="I210" s="1">
        <v>15.872999999999999</v>
      </c>
      <c r="J210" s="1">
        <v>5.7080000000000002</v>
      </c>
      <c r="M210" t="b">
        <f t="shared" si="27"/>
        <v>1</v>
      </c>
      <c r="N210">
        <f t="shared" si="22"/>
        <v>1</v>
      </c>
      <c r="O210">
        <f t="shared" si="23"/>
        <v>0</v>
      </c>
      <c r="P210">
        <f t="shared" si="28"/>
        <v>3</v>
      </c>
      <c r="R210">
        <f t="shared" si="24"/>
        <v>3</v>
      </c>
      <c r="S210">
        <f t="shared" si="25"/>
        <v>4</v>
      </c>
      <c r="T210">
        <f t="shared" si="26"/>
        <v>0</v>
      </c>
    </row>
    <row r="211" spans="1:20" x14ac:dyDescent="0.2">
      <c r="A211" s="1">
        <v>36</v>
      </c>
      <c r="B211" s="1" t="s">
        <v>46</v>
      </c>
      <c r="C211" s="1">
        <v>11.997</v>
      </c>
      <c r="D211" s="1">
        <v>0</v>
      </c>
      <c r="G211" s="1">
        <v>881</v>
      </c>
      <c r="H211" s="1">
        <v>1008</v>
      </c>
      <c r="I211" s="1">
        <v>23.273</v>
      </c>
      <c r="K211" s="1">
        <v>-7.2640000000000002</v>
      </c>
      <c r="M211" t="b">
        <f t="shared" si="27"/>
        <v>1</v>
      </c>
      <c r="N211">
        <f t="shared" si="22"/>
        <v>0</v>
      </c>
      <c r="O211">
        <f t="shared" si="23"/>
        <v>0</v>
      </c>
      <c r="P211">
        <f t="shared" si="28"/>
        <v>4</v>
      </c>
      <c r="R211">
        <f t="shared" si="24"/>
        <v>4</v>
      </c>
      <c r="S211">
        <f t="shared" si="25"/>
        <v>4</v>
      </c>
      <c r="T211">
        <f t="shared" si="26"/>
        <v>0</v>
      </c>
    </row>
    <row r="212" spans="1:20" x14ac:dyDescent="0.2">
      <c r="A212" s="1">
        <v>36</v>
      </c>
      <c r="B212" s="1" t="s">
        <v>46</v>
      </c>
      <c r="C212" s="1">
        <v>11.997</v>
      </c>
      <c r="D212" s="1">
        <v>0</v>
      </c>
      <c r="G212" s="1">
        <v>4209</v>
      </c>
      <c r="H212" s="1">
        <v>4842</v>
      </c>
      <c r="I212" s="1">
        <v>76.546000000000006</v>
      </c>
      <c r="K212" s="1">
        <v>0.33600000000000002</v>
      </c>
      <c r="M212" t="b">
        <f t="shared" si="27"/>
        <v>0</v>
      </c>
      <c r="N212">
        <f t="shared" si="22"/>
        <v>0</v>
      </c>
      <c r="O212">
        <f t="shared" si="23"/>
        <v>0</v>
      </c>
      <c r="P212">
        <f t="shared" si="28"/>
        <v>5</v>
      </c>
      <c r="R212">
        <f t="shared" si="24"/>
        <v>5</v>
      </c>
      <c r="S212">
        <f t="shared" si="25"/>
        <v>4</v>
      </c>
      <c r="T212">
        <f t="shared" si="26"/>
        <v>0</v>
      </c>
    </row>
    <row r="213" spans="1:20" x14ac:dyDescent="0.2">
      <c r="A213" s="1">
        <v>36</v>
      </c>
      <c r="B213" s="1" t="s">
        <v>46</v>
      </c>
      <c r="C213" s="1">
        <v>11.997</v>
      </c>
      <c r="D213" s="1">
        <v>1</v>
      </c>
      <c r="G213" s="1">
        <v>4207</v>
      </c>
      <c r="H213" s="1">
        <v>4838</v>
      </c>
      <c r="I213" s="1">
        <v>76.841999999999999</v>
      </c>
      <c r="K213" s="1">
        <v>0</v>
      </c>
      <c r="M213" t="b">
        <f t="shared" si="27"/>
        <v>0</v>
      </c>
      <c r="N213">
        <f t="shared" si="22"/>
        <v>0</v>
      </c>
      <c r="O213">
        <f t="shared" si="23"/>
        <v>1</v>
      </c>
      <c r="P213">
        <f t="shared" si="28"/>
        <v>6</v>
      </c>
      <c r="R213">
        <f t="shared" si="24"/>
        <v>6</v>
      </c>
      <c r="S213">
        <f t="shared" si="25"/>
        <v>4</v>
      </c>
      <c r="T213">
        <f t="shared" si="26"/>
        <v>0</v>
      </c>
    </row>
    <row r="214" spans="1:20" x14ac:dyDescent="0.2">
      <c r="A214" s="1">
        <v>37</v>
      </c>
      <c r="B214" s="1" t="s">
        <v>47</v>
      </c>
      <c r="C214" s="1">
        <v>29.501999999999999</v>
      </c>
      <c r="D214" s="1">
        <v>0</v>
      </c>
      <c r="E214" s="1">
        <v>5223</v>
      </c>
      <c r="F214" s="1">
        <v>3654</v>
      </c>
      <c r="I214" s="1">
        <v>94.385999999999996</v>
      </c>
      <c r="J214" s="1">
        <v>8.1000000000000003E-2</v>
      </c>
      <c r="M214" t="b">
        <f t="shared" si="27"/>
        <v>0</v>
      </c>
      <c r="N214">
        <f t="shared" si="22"/>
        <v>1</v>
      </c>
      <c r="O214">
        <f t="shared" si="23"/>
        <v>0</v>
      </c>
      <c r="P214">
        <f t="shared" si="28"/>
        <v>1</v>
      </c>
      <c r="R214">
        <f t="shared" si="24"/>
        <v>1</v>
      </c>
      <c r="S214">
        <f t="shared" si="25"/>
        <v>4</v>
      </c>
      <c r="T214">
        <f t="shared" si="26"/>
        <v>0</v>
      </c>
    </row>
    <row r="215" spans="1:20" x14ac:dyDescent="0.2">
      <c r="A215" s="1">
        <v>37</v>
      </c>
      <c r="B215" s="1" t="s">
        <v>47</v>
      </c>
      <c r="C215" s="1">
        <v>29.501999999999999</v>
      </c>
      <c r="D215" s="1">
        <v>1</v>
      </c>
      <c r="E215" s="1">
        <v>5220</v>
      </c>
      <c r="F215" s="1">
        <v>3652</v>
      </c>
      <c r="I215" s="1">
        <v>94.418999999999997</v>
      </c>
      <c r="J215" s="1">
        <v>0</v>
      </c>
      <c r="M215" t="b">
        <f t="shared" si="27"/>
        <v>0</v>
      </c>
      <c r="N215">
        <f t="shared" si="22"/>
        <v>1</v>
      </c>
      <c r="O215">
        <f t="shared" si="23"/>
        <v>1</v>
      </c>
      <c r="P215">
        <f t="shared" si="28"/>
        <v>2</v>
      </c>
      <c r="R215">
        <f t="shared" si="24"/>
        <v>2</v>
      </c>
      <c r="S215">
        <f t="shared" si="25"/>
        <v>4</v>
      </c>
      <c r="T215">
        <f t="shared" si="26"/>
        <v>0</v>
      </c>
    </row>
    <row r="216" spans="1:20" x14ac:dyDescent="0.2">
      <c r="A216" s="1">
        <v>37</v>
      </c>
      <c r="B216" s="1" t="s">
        <v>47</v>
      </c>
      <c r="C216" s="1">
        <v>29.501999999999999</v>
      </c>
      <c r="D216" s="1">
        <v>0</v>
      </c>
      <c r="E216" s="1">
        <v>664</v>
      </c>
      <c r="F216" s="1">
        <v>468</v>
      </c>
      <c r="I216" s="1">
        <v>17.388000000000002</v>
      </c>
      <c r="J216" s="1">
        <v>6.5339999999999998</v>
      </c>
      <c r="M216" t="b">
        <f t="shared" si="27"/>
        <v>1</v>
      </c>
      <c r="N216">
        <f t="shared" si="22"/>
        <v>1</v>
      </c>
      <c r="O216">
        <f t="shared" si="23"/>
        <v>0</v>
      </c>
      <c r="P216">
        <f t="shared" si="28"/>
        <v>3</v>
      </c>
      <c r="R216">
        <f t="shared" si="24"/>
        <v>3</v>
      </c>
      <c r="S216">
        <f t="shared" si="25"/>
        <v>4</v>
      </c>
      <c r="T216">
        <f t="shared" si="26"/>
        <v>0</v>
      </c>
    </row>
    <row r="217" spans="1:20" x14ac:dyDescent="0.2">
      <c r="A217" s="1">
        <v>37</v>
      </c>
      <c r="B217" s="1" t="s">
        <v>47</v>
      </c>
      <c r="C217" s="1">
        <v>29.501999999999999</v>
      </c>
      <c r="D217" s="1">
        <v>0</v>
      </c>
      <c r="G217" s="1">
        <v>608</v>
      </c>
      <c r="H217" s="1">
        <v>692</v>
      </c>
      <c r="I217" s="1">
        <v>16.042999999999999</v>
      </c>
      <c r="K217" s="1">
        <v>-13.342000000000001</v>
      </c>
      <c r="M217" t="b">
        <f t="shared" si="27"/>
        <v>1</v>
      </c>
      <c r="N217">
        <f t="shared" si="22"/>
        <v>0</v>
      </c>
      <c r="O217">
        <f t="shared" si="23"/>
        <v>0</v>
      </c>
      <c r="P217">
        <f t="shared" si="28"/>
        <v>4</v>
      </c>
      <c r="R217">
        <f t="shared" si="24"/>
        <v>4</v>
      </c>
      <c r="S217">
        <f t="shared" si="25"/>
        <v>4</v>
      </c>
      <c r="T217">
        <f t="shared" si="26"/>
        <v>0</v>
      </c>
    </row>
    <row r="218" spans="1:20" x14ac:dyDescent="0.2">
      <c r="A218" s="1">
        <v>37</v>
      </c>
      <c r="B218" s="1" t="s">
        <v>47</v>
      </c>
      <c r="C218" s="1">
        <v>29.501999999999999</v>
      </c>
      <c r="D218" s="1">
        <v>0</v>
      </c>
      <c r="G218" s="1">
        <v>4207</v>
      </c>
      <c r="H218" s="1">
        <v>4839</v>
      </c>
      <c r="I218" s="1">
        <v>76.488</v>
      </c>
      <c r="K218" s="1">
        <v>0.33300000000000002</v>
      </c>
      <c r="M218" t="b">
        <f t="shared" si="27"/>
        <v>0</v>
      </c>
      <c r="N218">
        <f t="shared" si="22"/>
        <v>0</v>
      </c>
      <c r="O218">
        <f t="shared" si="23"/>
        <v>0</v>
      </c>
      <c r="P218">
        <f t="shared" si="28"/>
        <v>5</v>
      </c>
      <c r="R218">
        <f t="shared" si="24"/>
        <v>5</v>
      </c>
      <c r="S218">
        <f t="shared" si="25"/>
        <v>4</v>
      </c>
      <c r="T218">
        <f t="shared" si="26"/>
        <v>0</v>
      </c>
    </row>
    <row r="219" spans="1:20" x14ac:dyDescent="0.2">
      <c r="A219" s="1">
        <v>37</v>
      </c>
      <c r="B219" s="1" t="s">
        <v>47</v>
      </c>
      <c r="C219" s="1">
        <v>29.501999999999999</v>
      </c>
      <c r="D219" s="1">
        <v>1</v>
      </c>
      <c r="G219" s="1">
        <v>4203</v>
      </c>
      <c r="H219" s="1">
        <v>4834</v>
      </c>
      <c r="I219" s="1">
        <v>76.801000000000002</v>
      </c>
      <c r="K219" s="1">
        <v>0</v>
      </c>
      <c r="M219" t="b">
        <f t="shared" si="27"/>
        <v>0</v>
      </c>
      <c r="N219">
        <f t="shared" si="22"/>
        <v>0</v>
      </c>
      <c r="O219">
        <f t="shared" si="23"/>
        <v>1</v>
      </c>
      <c r="P219">
        <f t="shared" si="28"/>
        <v>6</v>
      </c>
      <c r="R219">
        <f t="shared" si="24"/>
        <v>6</v>
      </c>
      <c r="S219">
        <f t="shared" si="25"/>
        <v>4</v>
      </c>
      <c r="T219">
        <f t="shared" si="26"/>
        <v>0</v>
      </c>
    </row>
    <row r="220" spans="1:20" x14ac:dyDescent="0.2">
      <c r="A220" s="1">
        <v>38</v>
      </c>
      <c r="B220" s="1" t="s">
        <v>48</v>
      </c>
      <c r="C220" s="1">
        <v>30.434999999999999</v>
      </c>
      <c r="D220" s="1">
        <v>0</v>
      </c>
      <c r="E220" s="1">
        <v>5222</v>
      </c>
      <c r="F220" s="1">
        <v>3654</v>
      </c>
      <c r="I220" s="1">
        <v>94.421999999999997</v>
      </c>
      <c r="J220" s="1">
        <v>7.3999999999999996E-2</v>
      </c>
      <c r="M220" t="b">
        <f t="shared" si="27"/>
        <v>0</v>
      </c>
      <c r="N220">
        <f t="shared" si="22"/>
        <v>1</v>
      </c>
      <c r="O220">
        <f t="shared" si="23"/>
        <v>0</v>
      </c>
      <c r="P220">
        <f t="shared" si="28"/>
        <v>1</v>
      </c>
      <c r="R220">
        <f t="shared" si="24"/>
        <v>1</v>
      </c>
      <c r="S220">
        <f t="shared" si="25"/>
        <v>4</v>
      </c>
      <c r="T220">
        <f t="shared" si="26"/>
        <v>0</v>
      </c>
    </row>
    <row r="221" spans="1:20" x14ac:dyDescent="0.2">
      <c r="A221" s="1">
        <v>38</v>
      </c>
      <c r="B221" s="1" t="s">
        <v>48</v>
      </c>
      <c r="C221" s="1">
        <v>30.434999999999999</v>
      </c>
      <c r="D221" s="1">
        <v>1</v>
      </c>
      <c r="E221" s="1">
        <v>5220</v>
      </c>
      <c r="F221" s="1">
        <v>3652</v>
      </c>
      <c r="I221" s="1">
        <v>94.391999999999996</v>
      </c>
      <c r="J221" s="1">
        <v>0</v>
      </c>
      <c r="M221" t="b">
        <f t="shared" si="27"/>
        <v>0</v>
      </c>
      <c r="N221">
        <f t="shared" si="22"/>
        <v>1</v>
      </c>
      <c r="O221">
        <f t="shared" si="23"/>
        <v>1</v>
      </c>
      <c r="P221">
        <f t="shared" si="28"/>
        <v>2</v>
      </c>
      <c r="R221">
        <f t="shared" si="24"/>
        <v>2</v>
      </c>
      <c r="S221">
        <f t="shared" si="25"/>
        <v>4</v>
      </c>
      <c r="T221">
        <f t="shared" si="26"/>
        <v>0</v>
      </c>
    </row>
    <row r="222" spans="1:20" x14ac:dyDescent="0.2">
      <c r="A222" s="1">
        <v>38</v>
      </c>
      <c r="B222" s="1" t="s">
        <v>48</v>
      </c>
      <c r="C222" s="1">
        <v>30.434999999999999</v>
      </c>
      <c r="D222" s="1">
        <v>0</v>
      </c>
      <c r="G222" s="1">
        <v>4209</v>
      </c>
      <c r="H222" s="1">
        <v>4842</v>
      </c>
      <c r="I222" s="1">
        <v>76.55</v>
      </c>
      <c r="K222" s="1">
        <v>0.35099999999999998</v>
      </c>
      <c r="M222" t="b">
        <f t="shared" si="27"/>
        <v>0</v>
      </c>
      <c r="N222">
        <f t="shared" si="22"/>
        <v>0</v>
      </c>
      <c r="O222">
        <f t="shared" si="23"/>
        <v>0</v>
      </c>
      <c r="P222">
        <f t="shared" si="28"/>
        <v>5</v>
      </c>
      <c r="R222">
        <f t="shared" si="24"/>
        <v>3</v>
      </c>
      <c r="S222">
        <f t="shared" si="25"/>
        <v>6</v>
      </c>
      <c r="T222">
        <f t="shared" si="26"/>
        <v>0</v>
      </c>
    </row>
    <row r="223" spans="1:20" x14ac:dyDescent="0.2">
      <c r="A223" s="1">
        <v>38</v>
      </c>
      <c r="B223" s="1" t="s">
        <v>48</v>
      </c>
      <c r="C223" s="1">
        <v>30.434999999999999</v>
      </c>
      <c r="D223" s="1">
        <v>1</v>
      </c>
      <c r="G223" s="1">
        <v>4207</v>
      </c>
      <c r="H223" s="1">
        <v>4838</v>
      </c>
      <c r="I223" s="1">
        <v>76.870999999999995</v>
      </c>
      <c r="K223" s="1">
        <v>0</v>
      </c>
      <c r="M223" t="b">
        <f t="shared" si="27"/>
        <v>0</v>
      </c>
      <c r="N223">
        <f t="shared" si="22"/>
        <v>0</v>
      </c>
      <c r="O223">
        <f t="shared" si="23"/>
        <v>1</v>
      </c>
      <c r="P223">
        <f t="shared" si="28"/>
        <v>6</v>
      </c>
      <c r="R223">
        <f t="shared" si="24"/>
        <v>4</v>
      </c>
      <c r="S223">
        <f t="shared" si="25"/>
        <v>6</v>
      </c>
      <c r="T223">
        <f t="shared" si="26"/>
        <v>0</v>
      </c>
    </row>
    <row r="224" spans="1:20" x14ac:dyDescent="0.2">
      <c r="A224" s="1">
        <v>39</v>
      </c>
      <c r="B224" s="1" t="s">
        <v>49</v>
      </c>
      <c r="C224" s="1">
        <v>29.75</v>
      </c>
      <c r="D224" s="1">
        <v>0</v>
      </c>
      <c r="E224" s="1">
        <v>5225</v>
      </c>
      <c r="F224" s="1">
        <v>3656</v>
      </c>
      <c r="I224" s="1">
        <v>94.414000000000001</v>
      </c>
      <c r="J224" s="1">
        <v>0.10199999999999999</v>
      </c>
      <c r="M224" t="b">
        <f t="shared" si="27"/>
        <v>0</v>
      </c>
      <c r="N224">
        <f t="shared" si="22"/>
        <v>1</v>
      </c>
      <c r="O224">
        <f t="shared" si="23"/>
        <v>0</v>
      </c>
      <c r="P224">
        <f t="shared" si="28"/>
        <v>1</v>
      </c>
      <c r="R224">
        <f t="shared" si="24"/>
        <v>1</v>
      </c>
      <c r="S224">
        <f t="shared" si="25"/>
        <v>6</v>
      </c>
      <c r="T224">
        <f t="shared" si="26"/>
        <v>0</v>
      </c>
    </row>
    <row r="225" spans="1:20" x14ac:dyDescent="0.2">
      <c r="A225" s="1">
        <v>39</v>
      </c>
      <c r="B225" s="1" t="s">
        <v>49</v>
      </c>
      <c r="C225" s="1">
        <v>29.75</v>
      </c>
      <c r="D225" s="1">
        <v>1</v>
      </c>
      <c r="E225" s="1">
        <v>5221</v>
      </c>
      <c r="F225" s="1">
        <v>3653</v>
      </c>
      <c r="I225" s="1">
        <v>94.456999999999994</v>
      </c>
      <c r="J225" s="1">
        <v>0</v>
      </c>
      <c r="M225" t="b">
        <f t="shared" si="27"/>
        <v>0</v>
      </c>
      <c r="N225">
        <f t="shared" si="22"/>
        <v>1</v>
      </c>
      <c r="O225">
        <f t="shared" si="23"/>
        <v>1</v>
      </c>
      <c r="P225">
        <f t="shared" si="28"/>
        <v>2</v>
      </c>
      <c r="R225">
        <f t="shared" si="24"/>
        <v>2</v>
      </c>
      <c r="S225">
        <f t="shared" si="25"/>
        <v>6</v>
      </c>
      <c r="T225">
        <f t="shared" si="26"/>
        <v>0</v>
      </c>
    </row>
    <row r="226" spans="1:20" x14ac:dyDescent="0.2">
      <c r="A226" s="1">
        <v>39</v>
      </c>
      <c r="B226" s="1" t="s">
        <v>49</v>
      </c>
      <c r="C226" s="1">
        <v>29.75</v>
      </c>
      <c r="D226" s="1">
        <v>0</v>
      </c>
      <c r="E226" s="1">
        <v>546</v>
      </c>
      <c r="F226" s="1">
        <v>385</v>
      </c>
      <c r="I226" s="1">
        <v>14.414</v>
      </c>
      <c r="J226" s="1">
        <v>7.4930000000000003</v>
      </c>
      <c r="M226" t="b">
        <f t="shared" si="27"/>
        <v>1</v>
      </c>
      <c r="N226">
        <f t="shared" si="22"/>
        <v>1</v>
      </c>
      <c r="O226">
        <f t="shared" si="23"/>
        <v>0</v>
      </c>
      <c r="P226">
        <f t="shared" si="28"/>
        <v>3</v>
      </c>
      <c r="R226">
        <f t="shared" si="24"/>
        <v>3</v>
      </c>
      <c r="S226">
        <f t="shared" si="25"/>
        <v>6</v>
      </c>
      <c r="T226">
        <f t="shared" si="26"/>
        <v>0</v>
      </c>
    </row>
    <row r="227" spans="1:20" x14ac:dyDescent="0.2">
      <c r="A227" s="1">
        <v>39</v>
      </c>
      <c r="B227" s="1" t="s">
        <v>49</v>
      </c>
      <c r="C227" s="1">
        <v>29.75</v>
      </c>
      <c r="D227" s="1">
        <v>0</v>
      </c>
      <c r="G227" s="1">
        <v>447</v>
      </c>
      <c r="H227" s="1">
        <v>509</v>
      </c>
      <c r="I227" s="1">
        <v>11.677</v>
      </c>
      <c r="K227" s="1">
        <v>-12.819000000000001</v>
      </c>
      <c r="M227" t="b">
        <f t="shared" si="27"/>
        <v>1</v>
      </c>
      <c r="N227">
        <f t="shared" si="22"/>
        <v>0</v>
      </c>
      <c r="O227">
        <f t="shared" si="23"/>
        <v>0</v>
      </c>
      <c r="P227">
        <f t="shared" si="28"/>
        <v>4</v>
      </c>
      <c r="R227">
        <f t="shared" si="24"/>
        <v>4</v>
      </c>
      <c r="S227">
        <f t="shared" si="25"/>
        <v>6</v>
      </c>
      <c r="T227">
        <f t="shared" si="26"/>
        <v>0</v>
      </c>
    </row>
    <row r="228" spans="1:20" x14ac:dyDescent="0.2">
      <c r="A228" s="1">
        <v>39</v>
      </c>
      <c r="B228" s="1" t="s">
        <v>49</v>
      </c>
      <c r="C228" s="1">
        <v>29.75</v>
      </c>
      <c r="D228" s="1">
        <v>0</v>
      </c>
      <c r="G228" s="1">
        <v>4209</v>
      </c>
      <c r="H228" s="1">
        <v>4842</v>
      </c>
      <c r="I228" s="1">
        <v>76.543000000000006</v>
      </c>
      <c r="K228" s="1">
        <v>0.30199999999999999</v>
      </c>
      <c r="M228" t="b">
        <f t="shared" si="27"/>
        <v>0</v>
      </c>
      <c r="N228">
        <f t="shared" si="22"/>
        <v>0</v>
      </c>
      <c r="O228">
        <f t="shared" si="23"/>
        <v>0</v>
      </c>
      <c r="P228">
        <f t="shared" si="28"/>
        <v>5</v>
      </c>
      <c r="R228">
        <f t="shared" si="24"/>
        <v>5</v>
      </c>
      <c r="S228">
        <f t="shared" si="25"/>
        <v>6</v>
      </c>
      <c r="T228">
        <f t="shared" si="26"/>
        <v>0</v>
      </c>
    </row>
    <row r="229" spans="1:20" x14ac:dyDescent="0.2">
      <c r="A229" s="1">
        <v>39</v>
      </c>
      <c r="B229" s="1" t="s">
        <v>49</v>
      </c>
      <c r="C229" s="1">
        <v>29.75</v>
      </c>
      <c r="D229" s="1">
        <v>1</v>
      </c>
      <c r="G229" s="1">
        <v>4205</v>
      </c>
      <c r="H229" s="1">
        <v>4836</v>
      </c>
      <c r="I229" s="1">
        <v>76.903000000000006</v>
      </c>
      <c r="K229" s="1">
        <v>0</v>
      </c>
      <c r="M229" t="b">
        <f t="shared" si="27"/>
        <v>0</v>
      </c>
      <c r="N229">
        <f t="shared" si="22"/>
        <v>0</v>
      </c>
      <c r="O229">
        <f t="shared" si="23"/>
        <v>1</v>
      </c>
      <c r="P229">
        <f t="shared" si="28"/>
        <v>6</v>
      </c>
      <c r="R229">
        <f t="shared" si="24"/>
        <v>6</v>
      </c>
      <c r="S229">
        <f t="shared" si="25"/>
        <v>6</v>
      </c>
      <c r="T229">
        <f t="shared" si="26"/>
        <v>0</v>
      </c>
    </row>
    <row r="230" spans="1:20" x14ac:dyDescent="0.2">
      <c r="A230" s="1">
        <v>40</v>
      </c>
      <c r="B230" s="1" t="s">
        <v>50</v>
      </c>
      <c r="C230" s="1">
        <v>30.097000000000001</v>
      </c>
      <c r="D230" s="1">
        <v>0</v>
      </c>
      <c r="E230" s="1">
        <v>5225</v>
      </c>
      <c r="F230" s="1">
        <v>3656</v>
      </c>
      <c r="I230" s="1">
        <v>94.474000000000004</v>
      </c>
      <c r="J230" s="1">
        <v>5.8000000000000003E-2</v>
      </c>
      <c r="M230" t="b">
        <f t="shared" si="27"/>
        <v>0</v>
      </c>
      <c r="N230">
        <f t="shared" si="22"/>
        <v>1</v>
      </c>
      <c r="O230">
        <f t="shared" si="23"/>
        <v>0</v>
      </c>
      <c r="P230">
        <f t="shared" si="28"/>
        <v>1</v>
      </c>
      <c r="R230">
        <f t="shared" si="24"/>
        <v>1</v>
      </c>
      <c r="S230">
        <f t="shared" si="25"/>
        <v>6</v>
      </c>
      <c r="T230">
        <f t="shared" si="26"/>
        <v>0</v>
      </c>
    </row>
    <row r="231" spans="1:20" x14ac:dyDescent="0.2">
      <c r="A231" s="1">
        <v>40</v>
      </c>
      <c r="B231" s="1" t="s">
        <v>50</v>
      </c>
      <c r="C231" s="1">
        <v>30.097000000000001</v>
      </c>
      <c r="D231" s="1">
        <v>1</v>
      </c>
      <c r="E231" s="1">
        <v>5222</v>
      </c>
      <c r="F231" s="1">
        <v>3654</v>
      </c>
      <c r="I231" s="1">
        <v>94.450999999999993</v>
      </c>
      <c r="J231" s="1">
        <v>0</v>
      </c>
      <c r="M231" t="b">
        <f t="shared" si="27"/>
        <v>0</v>
      </c>
      <c r="N231">
        <f t="shared" si="22"/>
        <v>1</v>
      </c>
      <c r="O231">
        <f t="shared" si="23"/>
        <v>1</v>
      </c>
      <c r="P231">
        <f t="shared" si="28"/>
        <v>2</v>
      </c>
      <c r="R231">
        <f t="shared" si="24"/>
        <v>2</v>
      </c>
      <c r="S231">
        <f t="shared" si="25"/>
        <v>6</v>
      </c>
      <c r="T231">
        <f t="shared" si="26"/>
        <v>0</v>
      </c>
    </row>
    <row r="232" spans="1:20" x14ac:dyDescent="0.2">
      <c r="A232" s="1">
        <v>40</v>
      </c>
      <c r="B232" s="1" t="s">
        <v>50</v>
      </c>
      <c r="C232" s="1">
        <v>30.097000000000001</v>
      </c>
      <c r="D232" s="1">
        <v>0</v>
      </c>
      <c r="E232" s="1">
        <v>584</v>
      </c>
      <c r="F232" s="1">
        <v>412</v>
      </c>
      <c r="I232" s="1">
        <v>15.244</v>
      </c>
      <c r="J232" s="1">
        <v>7.7759999999999998</v>
      </c>
      <c r="M232" t="b">
        <f t="shared" si="27"/>
        <v>1</v>
      </c>
      <c r="N232">
        <f t="shared" si="22"/>
        <v>1</v>
      </c>
      <c r="O232">
        <f t="shared" si="23"/>
        <v>0</v>
      </c>
      <c r="P232">
        <f t="shared" si="28"/>
        <v>3</v>
      </c>
      <c r="R232">
        <f t="shared" si="24"/>
        <v>3</v>
      </c>
      <c r="S232">
        <f t="shared" si="25"/>
        <v>6</v>
      </c>
      <c r="T232">
        <f t="shared" si="26"/>
        <v>0</v>
      </c>
    </row>
    <row r="233" spans="1:20" x14ac:dyDescent="0.2">
      <c r="A233" s="1">
        <v>40</v>
      </c>
      <c r="B233" s="1" t="s">
        <v>50</v>
      </c>
      <c r="C233" s="1">
        <v>30.097000000000001</v>
      </c>
      <c r="D233" s="1">
        <v>0</v>
      </c>
      <c r="G233" s="1">
        <v>687</v>
      </c>
      <c r="H233" s="1">
        <v>781</v>
      </c>
      <c r="I233" s="1">
        <v>18.033000000000001</v>
      </c>
      <c r="K233" s="1">
        <v>-14.028</v>
      </c>
      <c r="M233" t="b">
        <f t="shared" si="27"/>
        <v>1</v>
      </c>
      <c r="N233">
        <f t="shared" si="22"/>
        <v>0</v>
      </c>
      <c r="O233">
        <f t="shared" si="23"/>
        <v>0</v>
      </c>
      <c r="P233">
        <f t="shared" si="28"/>
        <v>4</v>
      </c>
      <c r="R233">
        <f t="shared" si="24"/>
        <v>4</v>
      </c>
      <c r="S233">
        <f t="shared" si="25"/>
        <v>6</v>
      </c>
      <c r="T233">
        <f t="shared" si="26"/>
        <v>0</v>
      </c>
    </row>
    <row r="234" spans="1:20" x14ac:dyDescent="0.2">
      <c r="A234" s="1">
        <v>40</v>
      </c>
      <c r="B234" s="1" t="s">
        <v>50</v>
      </c>
      <c r="C234" s="1">
        <v>30.097000000000001</v>
      </c>
      <c r="D234" s="1">
        <v>0</v>
      </c>
      <c r="G234" s="1">
        <v>4209</v>
      </c>
      <c r="H234" s="1">
        <v>4842</v>
      </c>
      <c r="I234" s="1">
        <v>76.603999999999999</v>
      </c>
      <c r="K234" s="1">
        <v>0.29799999999999999</v>
      </c>
      <c r="M234" t="b">
        <f t="shared" si="27"/>
        <v>0</v>
      </c>
      <c r="N234">
        <f t="shared" si="22"/>
        <v>0</v>
      </c>
      <c r="O234">
        <f t="shared" si="23"/>
        <v>0</v>
      </c>
      <c r="P234">
        <f t="shared" si="28"/>
        <v>5</v>
      </c>
      <c r="R234">
        <f t="shared" si="24"/>
        <v>5</v>
      </c>
      <c r="S234">
        <f t="shared" si="25"/>
        <v>6</v>
      </c>
      <c r="T234">
        <f t="shared" si="26"/>
        <v>0</v>
      </c>
    </row>
    <row r="235" spans="1:20" x14ac:dyDescent="0.2">
      <c r="A235" s="1">
        <v>40</v>
      </c>
      <c r="B235" s="1" t="s">
        <v>50</v>
      </c>
      <c r="C235" s="1">
        <v>30.097000000000001</v>
      </c>
      <c r="D235" s="1">
        <v>1</v>
      </c>
      <c r="G235" s="1">
        <v>4207</v>
      </c>
      <c r="H235" s="1">
        <v>4839</v>
      </c>
      <c r="I235" s="1">
        <v>76.813000000000002</v>
      </c>
      <c r="K235" s="1">
        <v>0</v>
      </c>
      <c r="M235" t="b">
        <f t="shared" si="27"/>
        <v>0</v>
      </c>
      <c r="N235">
        <f t="shared" si="22"/>
        <v>0</v>
      </c>
      <c r="O235">
        <f t="shared" si="23"/>
        <v>1</v>
      </c>
      <c r="P235">
        <f t="shared" si="28"/>
        <v>6</v>
      </c>
      <c r="R235">
        <f t="shared" si="24"/>
        <v>6</v>
      </c>
      <c r="S235">
        <f t="shared" si="25"/>
        <v>6</v>
      </c>
      <c r="T235">
        <f t="shared" si="26"/>
        <v>0</v>
      </c>
    </row>
    <row r="236" spans="1:20" x14ac:dyDescent="0.2">
      <c r="A236" s="1">
        <v>41</v>
      </c>
      <c r="B236" s="1" t="s">
        <v>51</v>
      </c>
      <c r="C236" s="1">
        <v>29.978000000000002</v>
      </c>
      <c r="D236" s="1">
        <v>0</v>
      </c>
      <c r="E236" s="1">
        <v>5225</v>
      </c>
      <c r="F236" s="1">
        <v>3657</v>
      </c>
      <c r="I236" s="1">
        <v>94.457999999999998</v>
      </c>
      <c r="J236" s="1">
        <v>7.0999999999999994E-2</v>
      </c>
      <c r="M236" t="b">
        <f t="shared" si="27"/>
        <v>0</v>
      </c>
      <c r="N236">
        <f t="shared" si="22"/>
        <v>1</v>
      </c>
      <c r="O236">
        <f t="shared" si="23"/>
        <v>0</v>
      </c>
      <c r="P236">
        <f t="shared" si="28"/>
        <v>1</v>
      </c>
      <c r="R236">
        <f t="shared" si="24"/>
        <v>1</v>
      </c>
      <c r="S236">
        <f t="shared" si="25"/>
        <v>6</v>
      </c>
      <c r="T236">
        <f t="shared" si="26"/>
        <v>0</v>
      </c>
    </row>
    <row r="237" spans="1:20" x14ac:dyDescent="0.2">
      <c r="A237" s="1">
        <v>41</v>
      </c>
      <c r="B237" s="1" t="s">
        <v>51</v>
      </c>
      <c r="C237" s="1">
        <v>29.978000000000002</v>
      </c>
      <c r="D237" s="1">
        <v>1</v>
      </c>
      <c r="E237" s="1">
        <v>5223</v>
      </c>
      <c r="F237" s="1">
        <v>3655</v>
      </c>
      <c r="I237" s="1">
        <v>94.391999999999996</v>
      </c>
      <c r="J237" s="1">
        <v>0</v>
      </c>
      <c r="M237" t="b">
        <f t="shared" si="27"/>
        <v>0</v>
      </c>
      <c r="N237">
        <f t="shared" si="22"/>
        <v>1</v>
      </c>
      <c r="O237">
        <f t="shared" si="23"/>
        <v>1</v>
      </c>
      <c r="P237">
        <f t="shared" si="28"/>
        <v>2</v>
      </c>
      <c r="R237">
        <f t="shared" si="24"/>
        <v>2</v>
      </c>
      <c r="S237">
        <f t="shared" si="25"/>
        <v>6</v>
      </c>
      <c r="T237">
        <f t="shared" si="26"/>
        <v>0</v>
      </c>
    </row>
    <row r="238" spans="1:20" x14ac:dyDescent="0.2">
      <c r="A238" s="1">
        <v>41</v>
      </c>
      <c r="B238" s="1" t="s">
        <v>51</v>
      </c>
      <c r="C238" s="1">
        <v>29.978000000000002</v>
      </c>
      <c r="D238" s="1">
        <v>0</v>
      </c>
      <c r="E238" s="1">
        <v>621</v>
      </c>
      <c r="F238" s="1">
        <v>438</v>
      </c>
      <c r="I238" s="1">
        <v>16.286999999999999</v>
      </c>
      <c r="J238" s="1">
        <v>7.4489999999999998</v>
      </c>
      <c r="M238" t="b">
        <f t="shared" si="27"/>
        <v>1</v>
      </c>
      <c r="N238">
        <f t="shared" si="22"/>
        <v>1</v>
      </c>
      <c r="O238">
        <f t="shared" si="23"/>
        <v>0</v>
      </c>
      <c r="P238">
        <f t="shared" si="28"/>
        <v>3</v>
      </c>
      <c r="R238">
        <f t="shared" si="24"/>
        <v>3</v>
      </c>
      <c r="S238">
        <f t="shared" si="25"/>
        <v>6</v>
      </c>
      <c r="T238">
        <f t="shared" si="26"/>
        <v>0</v>
      </c>
    </row>
    <row r="239" spans="1:20" x14ac:dyDescent="0.2">
      <c r="A239" s="1">
        <v>41</v>
      </c>
      <c r="B239" s="1" t="s">
        <v>51</v>
      </c>
      <c r="C239" s="1">
        <v>29.978000000000002</v>
      </c>
      <c r="D239" s="1">
        <v>0</v>
      </c>
      <c r="G239" s="1">
        <v>490</v>
      </c>
      <c r="H239" s="1">
        <v>557</v>
      </c>
      <c r="I239" s="1">
        <v>12.808999999999999</v>
      </c>
      <c r="K239" s="1">
        <v>-12.872999999999999</v>
      </c>
      <c r="M239" t="b">
        <f t="shared" si="27"/>
        <v>1</v>
      </c>
      <c r="N239">
        <f t="shared" si="22"/>
        <v>0</v>
      </c>
      <c r="O239">
        <f t="shared" si="23"/>
        <v>0</v>
      </c>
      <c r="P239">
        <f t="shared" si="28"/>
        <v>4</v>
      </c>
      <c r="R239">
        <f t="shared" si="24"/>
        <v>4</v>
      </c>
      <c r="S239">
        <f t="shared" si="25"/>
        <v>6</v>
      </c>
      <c r="T239">
        <f t="shared" si="26"/>
        <v>0</v>
      </c>
    </row>
    <row r="240" spans="1:20" x14ac:dyDescent="0.2">
      <c r="A240" s="1">
        <v>41</v>
      </c>
      <c r="B240" s="1" t="s">
        <v>51</v>
      </c>
      <c r="C240" s="1">
        <v>29.978000000000002</v>
      </c>
      <c r="D240" s="1">
        <v>0</v>
      </c>
      <c r="G240" s="1">
        <v>4209</v>
      </c>
      <c r="H240" s="1">
        <v>4842</v>
      </c>
      <c r="I240" s="1">
        <v>76.548000000000002</v>
      </c>
      <c r="K240" s="1">
        <v>0.28399999999999997</v>
      </c>
      <c r="M240" t="b">
        <f t="shared" si="27"/>
        <v>0</v>
      </c>
      <c r="N240">
        <f t="shared" si="22"/>
        <v>0</v>
      </c>
      <c r="O240">
        <f t="shared" si="23"/>
        <v>0</v>
      </c>
      <c r="P240">
        <f t="shared" si="28"/>
        <v>5</v>
      </c>
      <c r="R240">
        <f t="shared" si="24"/>
        <v>5</v>
      </c>
      <c r="S240">
        <f t="shared" si="25"/>
        <v>6</v>
      </c>
      <c r="T240">
        <f t="shared" si="26"/>
        <v>0</v>
      </c>
    </row>
    <row r="241" spans="1:20" x14ac:dyDescent="0.2">
      <c r="A241" s="1">
        <v>41</v>
      </c>
      <c r="B241" s="1" t="s">
        <v>51</v>
      </c>
      <c r="C241" s="1">
        <v>29.978000000000002</v>
      </c>
      <c r="D241" s="1">
        <v>1</v>
      </c>
      <c r="G241" s="1">
        <v>4208</v>
      </c>
      <c r="H241" s="1">
        <v>4840</v>
      </c>
      <c r="I241" s="1">
        <v>76.849000000000004</v>
      </c>
      <c r="K241" s="1">
        <v>0</v>
      </c>
      <c r="M241" t="b">
        <f t="shared" si="27"/>
        <v>0</v>
      </c>
      <c r="N241">
        <f t="shared" si="22"/>
        <v>0</v>
      </c>
      <c r="O241">
        <f t="shared" si="23"/>
        <v>1</v>
      </c>
      <c r="P241">
        <f t="shared" si="28"/>
        <v>6</v>
      </c>
      <c r="R241">
        <f t="shared" si="24"/>
        <v>6</v>
      </c>
      <c r="S241">
        <f t="shared" si="25"/>
        <v>6</v>
      </c>
      <c r="T241">
        <f t="shared" si="26"/>
        <v>0</v>
      </c>
    </row>
    <row r="242" spans="1:20" x14ac:dyDescent="0.2">
      <c r="A242" s="1">
        <v>42</v>
      </c>
      <c r="B242" s="1" t="s">
        <v>52</v>
      </c>
      <c r="C242" s="1">
        <v>29.51</v>
      </c>
      <c r="D242" s="1">
        <v>0</v>
      </c>
      <c r="E242">
        <v>5225</v>
      </c>
      <c r="F242">
        <v>3656</v>
      </c>
      <c r="I242" s="1">
        <v>94.36</v>
      </c>
      <c r="J242">
        <v>7.1999999999999995E-2</v>
      </c>
      <c r="M242" t="b">
        <f t="shared" si="27"/>
        <v>0</v>
      </c>
      <c r="N242">
        <f t="shared" si="22"/>
        <v>1</v>
      </c>
      <c r="O242">
        <f t="shared" si="23"/>
        <v>0</v>
      </c>
      <c r="P242">
        <f t="shared" si="28"/>
        <v>1</v>
      </c>
      <c r="R242">
        <f t="shared" si="24"/>
        <v>1</v>
      </c>
      <c r="S242">
        <f t="shared" si="25"/>
        <v>6</v>
      </c>
      <c r="T242">
        <f t="shared" si="26"/>
        <v>0</v>
      </c>
    </row>
    <row r="243" spans="1:20" x14ac:dyDescent="0.2">
      <c r="A243" s="1">
        <v>42</v>
      </c>
      <c r="B243" s="1" t="s">
        <v>52</v>
      </c>
      <c r="C243" s="1">
        <v>29.51</v>
      </c>
      <c r="D243" s="1">
        <v>1</v>
      </c>
      <c r="E243">
        <v>5225</v>
      </c>
      <c r="F243">
        <v>3656</v>
      </c>
      <c r="I243" s="1">
        <v>94.477000000000004</v>
      </c>
      <c r="J243">
        <v>0</v>
      </c>
      <c r="M243" t="b">
        <f t="shared" si="27"/>
        <v>0</v>
      </c>
      <c r="N243">
        <f t="shared" si="22"/>
        <v>1</v>
      </c>
      <c r="O243">
        <f t="shared" si="23"/>
        <v>1</v>
      </c>
      <c r="P243">
        <f t="shared" si="28"/>
        <v>2</v>
      </c>
      <c r="R243">
        <f t="shared" si="24"/>
        <v>2</v>
      </c>
      <c r="S243">
        <f t="shared" si="25"/>
        <v>6</v>
      </c>
      <c r="T243">
        <f t="shared" si="26"/>
        <v>0</v>
      </c>
    </row>
    <row r="244" spans="1:20" x14ac:dyDescent="0.2">
      <c r="A244" s="1">
        <v>42</v>
      </c>
      <c r="B244" s="1" t="s">
        <v>52</v>
      </c>
      <c r="C244" s="1">
        <v>29.51</v>
      </c>
      <c r="D244" s="1">
        <v>0</v>
      </c>
      <c r="G244">
        <v>4209</v>
      </c>
      <c r="H244">
        <v>4842</v>
      </c>
      <c r="I244" s="1">
        <v>76.575999999999993</v>
      </c>
      <c r="K244">
        <v>0.33500000000000002</v>
      </c>
      <c r="M244" t="b">
        <f t="shared" si="27"/>
        <v>0</v>
      </c>
      <c r="N244">
        <f t="shared" si="22"/>
        <v>0</v>
      </c>
      <c r="O244">
        <f t="shared" si="23"/>
        <v>0</v>
      </c>
      <c r="P244">
        <f t="shared" si="28"/>
        <v>5</v>
      </c>
      <c r="R244">
        <f t="shared" si="24"/>
        <v>3</v>
      </c>
      <c r="S244">
        <f t="shared" si="25"/>
        <v>8</v>
      </c>
      <c r="T244">
        <f t="shared" si="26"/>
        <v>0</v>
      </c>
    </row>
    <row r="245" spans="1:20" x14ac:dyDescent="0.2">
      <c r="A245" s="1">
        <v>42</v>
      </c>
      <c r="B245" s="1" t="s">
        <v>52</v>
      </c>
      <c r="C245" s="1">
        <v>29.51</v>
      </c>
      <c r="D245" s="1">
        <v>1</v>
      </c>
      <c r="G245">
        <v>4206</v>
      </c>
      <c r="H245">
        <v>4838</v>
      </c>
      <c r="I245" s="1">
        <v>76.823999999999998</v>
      </c>
      <c r="K245">
        <v>0</v>
      </c>
      <c r="M245" t="b">
        <f t="shared" si="27"/>
        <v>0</v>
      </c>
      <c r="N245">
        <f t="shared" si="22"/>
        <v>0</v>
      </c>
      <c r="O245">
        <f t="shared" si="23"/>
        <v>1</v>
      </c>
      <c r="P245">
        <f t="shared" si="28"/>
        <v>6</v>
      </c>
      <c r="R245">
        <f t="shared" si="24"/>
        <v>4</v>
      </c>
      <c r="S245">
        <f t="shared" si="25"/>
        <v>8</v>
      </c>
      <c r="T245">
        <f t="shared" si="26"/>
        <v>0</v>
      </c>
    </row>
    <row r="246" spans="1:20" x14ac:dyDescent="0.2">
      <c r="A246" s="1">
        <v>43</v>
      </c>
      <c r="B246" s="1" t="s">
        <v>53</v>
      </c>
      <c r="C246" s="1">
        <v>30.402000000000001</v>
      </c>
      <c r="D246" s="1">
        <v>0</v>
      </c>
      <c r="E246">
        <v>5224</v>
      </c>
      <c r="F246">
        <v>3655</v>
      </c>
      <c r="I246" s="1">
        <v>94.5</v>
      </c>
      <c r="J246">
        <v>0.104</v>
      </c>
      <c r="M246" t="b">
        <f t="shared" si="27"/>
        <v>0</v>
      </c>
      <c r="N246">
        <f t="shared" si="22"/>
        <v>1</v>
      </c>
      <c r="O246">
        <f t="shared" si="23"/>
        <v>0</v>
      </c>
      <c r="P246">
        <f t="shared" si="28"/>
        <v>1</v>
      </c>
      <c r="R246">
        <f t="shared" si="24"/>
        <v>1</v>
      </c>
      <c r="S246">
        <f t="shared" si="25"/>
        <v>8</v>
      </c>
      <c r="T246">
        <f t="shared" si="26"/>
        <v>0</v>
      </c>
    </row>
    <row r="247" spans="1:20" x14ac:dyDescent="0.2">
      <c r="A247" s="1">
        <v>43</v>
      </c>
      <c r="B247" s="1" t="s">
        <v>53</v>
      </c>
      <c r="C247" s="1">
        <v>30.402000000000001</v>
      </c>
      <c r="D247" s="1">
        <v>1</v>
      </c>
      <c r="E247">
        <v>5220</v>
      </c>
      <c r="F247">
        <v>3653</v>
      </c>
      <c r="I247" s="1">
        <v>94.468999999999994</v>
      </c>
      <c r="J247">
        <v>0</v>
      </c>
      <c r="M247" t="b">
        <f t="shared" si="27"/>
        <v>0</v>
      </c>
      <c r="N247">
        <f t="shared" si="22"/>
        <v>1</v>
      </c>
      <c r="O247">
        <f t="shared" si="23"/>
        <v>1</v>
      </c>
      <c r="P247">
        <f t="shared" si="28"/>
        <v>2</v>
      </c>
      <c r="R247">
        <f t="shared" si="24"/>
        <v>2</v>
      </c>
      <c r="S247">
        <f t="shared" si="25"/>
        <v>8</v>
      </c>
      <c r="T247">
        <f t="shared" si="26"/>
        <v>0</v>
      </c>
    </row>
    <row r="248" spans="1:20" x14ac:dyDescent="0.2">
      <c r="A248" s="1">
        <v>43</v>
      </c>
      <c r="B248" s="1" t="s">
        <v>53</v>
      </c>
      <c r="C248" s="1">
        <v>30.402000000000001</v>
      </c>
      <c r="D248" s="1">
        <v>0</v>
      </c>
      <c r="E248">
        <v>735</v>
      </c>
      <c r="F248">
        <v>518</v>
      </c>
      <c r="I248" s="1">
        <v>19.135999999999999</v>
      </c>
      <c r="J248">
        <v>7.04</v>
      </c>
      <c r="M248" t="b">
        <f t="shared" si="27"/>
        <v>1</v>
      </c>
      <c r="N248">
        <f t="shared" si="22"/>
        <v>1</v>
      </c>
      <c r="O248">
        <f t="shared" si="23"/>
        <v>0</v>
      </c>
      <c r="P248">
        <f t="shared" si="28"/>
        <v>3</v>
      </c>
      <c r="R248">
        <f t="shared" si="24"/>
        <v>3</v>
      </c>
      <c r="S248">
        <f t="shared" si="25"/>
        <v>8</v>
      </c>
      <c r="T248">
        <f t="shared" si="26"/>
        <v>0</v>
      </c>
    </row>
    <row r="249" spans="1:20" x14ac:dyDescent="0.2">
      <c r="A249" s="1">
        <v>43</v>
      </c>
      <c r="B249" s="1" t="s">
        <v>53</v>
      </c>
      <c r="C249" s="1">
        <v>30.402000000000001</v>
      </c>
      <c r="D249" s="1">
        <v>0</v>
      </c>
      <c r="G249">
        <v>768</v>
      </c>
      <c r="H249">
        <v>873</v>
      </c>
      <c r="I249" s="1">
        <v>20.273</v>
      </c>
      <c r="K249">
        <v>-13.763999999999999</v>
      </c>
      <c r="M249" t="b">
        <f t="shared" si="27"/>
        <v>1</v>
      </c>
      <c r="N249">
        <f t="shared" si="22"/>
        <v>0</v>
      </c>
      <c r="O249">
        <f t="shared" si="23"/>
        <v>0</v>
      </c>
      <c r="P249">
        <f t="shared" si="28"/>
        <v>4</v>
      </c>
      <c r="R249">
        <f t="shared" si="24"/>
        <v>4</v>
      </c>
      <c r="S249">
        <f t="shared" si="25"/>
        <v>8</v>
      </c>
      <c r="T249">
        <f t="shared" si="26"/>
        <v>0</v>
      </c>
    </row>
    <row r="250" spans="1:20" x14ac:dyDescent="0.2">
      <c r="A250" s="1">
        <v>43</v>
      </c>
      <c r="B250" s="1" t="s">
        <v>53</v>
      </c>
      <c r="C250" s="1">
        <v>30.402000000000001</v>
      </c>
      <c r="D250" s="1">
        <v>0</v>
      </c>
      <c r="G250">
        <v>4208</v>
      </c>
      <c r="H250">
        <v>4841</v>
      </c>
      <c r="I250" s="1">
        <v>76.558999999999997</v>
      </c>
      <c r="K250">
        <v>0.316</v>
      </c>
      <c r="M250" t="b">
        <f t="shared" si="27"/>
        <v>0</v>
      </c>
      <c r="N250">
        <f t="shared" si="22"/>
        <v>0</v>
      </c>
      <c r="O250">
        <f t="shared" si="23"/>
        <v>0</v>
      </c>
      <c r="P250">
        <f t="shared" si="28"/>
        <v>5</v>
      </c>
      <c r="R250">
        <f t="shared" si="24"/>
        <v>5</v>
      </c>
      <c r="S250">
        <f t="shared" si="25"/>
        <v>8</v>
      </c>
      <c r="T250">
        <f t="shared" si="26"/>
        <v>0</v>
      </c>
    </row>
    <row r="251" spans="1:20" x14ac:dyDescent="0.2">
      <c r="A251" s="1">
        <v>43</v>
      </c>
      <c r="B251" s="1" t="s">
        <v>53</v>
      </c>
      <c r="C251" s="1">
        <v>30.402000000000001</v>
      </c>
      <c r="D251" s="1">
        <v>1</v>
      </c>
      <c r="G251">
        <v>4205</v>
      </c>
      <c r="H251">
        <v>4837</v>
      </c>
      <c r="I251" s="1">
        <v>76.775999999999996</v>
      </c>
      <c r="K251">
        <v>0</v>
      </c>
      <c r="M251" t="b">
        <f t="shared" si="27"/>
        <v>0</v>
      </c>
      <c r="N251">
        <f t="shared" si="22"/>
        <v>0</v>
      </c>
      <c r="O251">
        <f t="shared" si="23"/>
        <v>1</v>
      </c>
      <c r="P251">
        <f t="shared" si="28"/>
        <v>6</v>
      </c>
      <c r="R251">
        <f t="shared" si="24"/>
        <v>6</v>
      </c>
      <c r="S251">
        <f t="shared" si="25"/>
        <v>8</v>
      </c>
      <c r="T251">
        <f t="shared" si="26"/>
        <v>0</v>
      </c>
    </row>
    <row r="252" spans="1:20" x14ac:dyDescent="0.2">
      <c r="A252" s="1">
        <v>44</v>
      </c>
      <c r="B252" s="1" t="s">
        <v>54</v>
      </c>
      <c r="C252" s="1">
        <v>30.114999999999998</v>
      </c>
      <c r="D252" s="1">
        <v>0</v>
      </c>
      <c r="E252">
        <v>5222</v>
      </c>
      <c r="F252">
        <v>3654</v>
      </c>
      <c r="I252" s="1">
        <v>94.492000000000004</v>
      </c>
      <c r="J252">
        <v>0.08</v>
      </c>
      <c r="M252" t="b">
        <f t="shared" si="27"/>
        <v>0</v>
      </c>
      <c r="N252">
        <f t="shared" si="22"/>
        <v>1</v>
      </c>
      <c r="O252">
        <f t="shared" si="23"/>
        <v>0</v>
      </c>
      <c r="P252">
        <f t="shared" si="28"/>
        <v>1</v>
      </c>
      <c r="R252">
        <f t="shared" si="24"/>
        <v>1</v>
      </c>
      <c r="S252">
        <f t="shared" si="25"/>
        <v>8</v>
      </c>
      <c r="T252">
        <f t="shared" si="26"/>
        <v>0</v>
      </c>
    </row>
    <row r="253" spans="1:20" x14ac:dyDescent="0.2">
      <c r="A253" s="1">
        <v>44</v>
      </c>
      <c r="B253" s="1" t="s">
        <v>54</v>
      </c>
      <c r="C253" s="1">
        <v>30.114999999999998</v>
      </c>
      <c r="D253" s="1">
        <v>1</v>
      </c>
      <c r="E253">
        <v>5222</v>
      </c>
      <c r="F253">
        <v>3654</v>
      </c>
      <c r="I253" s="1">
        <v>94.418000000000006</v>
      </c>
      <c r="J253">
        <v>0</v>
      </c>
      <c r="M253" t="b">
        <f t="shared" si="27"/>
        <v>0</v>
      </c>
      <c r="N253">
        <f t="shared" si="22"/>
        <v>1</v>
      </c>
      <c r="O253">
        <f t="shared" si="23"/>
        <v>1</v>
      </c>
      <c r="P253">
        <f t="shared" si="28"/>
        <v>2</v>
      </c>
      <c r="R253">
        <f t="shared" si="24"/>
        <v>2</v>
      </c>
      <c r="S253">
        <f t="shared" si="25"/>
        <v>8</v>
      </c>
      <c r="T253">
        <f t="shared" si="26"/>
        <v>0</v>
      </c>
    </row>
    <row r="254" spans="1:20" x14ac:dyDescent="0.2">
      <c r="A254" s="1">
        <v>44</v>
      </c>
      <c r="B254" s="1" t="s">
        <v>54</v>
      </c>
      <c r="C254" s="1">
        <v>30.114999999999998</v>
      </c>
      <c r="D254" s="1">
        <v>0</v>
      </c>
      <c r="E254">
        <v>586</v>
      </c>
      <c r="F254">
        <v>413</v>
      </c>
      <c r="I254" s="1">
        <v>15.451000000000001</v>
      </c>
      <c r="J254">
        <v>7.782</v>
      </c>
      <c r="M254" t="b">
        <f t="shared" si="27"/>
        <v>1</v>
      </c>
      <c r="N254">
        <f t="shared" si="22"/>
        <v>1</v>
      </c>
      <c r="O254">
        <f t="shared" si="23"/>
        <v>0</v>
      </c>
      <c r="P254">
        <f t="shared" si="28"/>
        <v>3</v>
      </c>
      <c r="R254">
        <f t="shared" si="24"/>
        <v>3</v>
      </c>
      <c r="S254">
        <f t="shared" si="25"/>
        <v>8</v>
      </c>
      <c r="T254">
        <f t="shared" si="26"/>
        <v>0</v>
      </c>
    </row>
    <row r="255" spans="1:20" x14ac:dyDescent="0.2">
      <c r="A255" s="1">
        <v>44</v>
      </c>
      <c r="B255" s="1" t="s">
        <v>54</v>
      </c>
      <c r="C255" s="1">
        <v>30.114999999999998</v>
      </c>
      <c r="D255" s="1">
        <v>0</v>
      </c>
      <c r="G255">
        <v>501</v>
      </c>
      <c r="H255">
        <v>570</v>
      </c>
      <c r="I255" s="1">
        <v>13.167</v>
      </c>
      <c r="K255">
        <v>-13.157999999999999</v>
      </c>
      <c r="M255" t="b">
        <f t="shared" si="27"/>
        <v>1</v>
      </c>
      <c r="N255">
        <f t="shared" si="22"/>
        <v>0</v>
      </c>
      <c r="O255">
        <f t="shared" si="23"/>
        <v>0</v>
      </c>
      <c r="P255">
        <f t="shared" si="28"/>
        <v>4</v>
      </c>
      <c r="R255">
        <f t="shared" si="24"/>
        <v>4</v>
      </c>
      <c r="S255">
        <f t="shared" si="25"/>
        <v>8</v>
      </c>
      <c r="T255">
        <f t="shared" si="26"/>
        <v>0</v>
      </c>
    </row>
    <row r="256" spans="1:20" x14ac:dyDescent="0.2">
      <c r="A256" s="1">
        <v>44</v>
      </c>
      <c r="B256" s="1" t="s">
        <v>54</v>
      </c>
      <c r="C256" s="1">
        <v>30.114999999999998</v>
      </c>
      <c r="D256" s="1">
        <v>0</v>
      </c>
      <c r="G256">
        <v>4207</v>
      </c>
      <c r="H256">
        <v>4840</v>
      </c>
      <c r="I256" s="1">
        <v>76.524000000000001</v>
      </c>
      <c r="K256">
        <v>0.29299999999999998</v>
      </c>
      <c r="M256" t="b">
        <f t="shared" si="27"/>
        <v>0</v>
      </c>
      <c r="N256">
        <f t="shared" si="22"/>
        <v>0</v>
      </c>
      <c r="O256">
        <f t="shared" si="23"/>
        <v>0</v>
      </c>
      <c r="P256">
        <f t="shared" si="28"/>
        <v>5</v>
      </c>
      <c r="R256">
        <f t="shared" si="24"/>
        <v>5</v>
      </c>
      <c r="S256">
        <f t="shared" si="25"/>
        <v>8</v>
      </c>
      <c r="T256">
        <f t="shared" si="26"/>
        <v>0</v>
      </c>
    </row>
    <row r="257" spans="1:20" x14ac:dyDescent="0.2">
      <c r="A257" s="1">
        <v>44</v>
      </c>
      <c r="B257" s="1" t="s">
        <v>54</v>
      </c>
      <c r="C257" s="1">
        <v>30.114999999999998</v>
      </c>
      <c r="D257" s="1">
        <v>1</v>
      </c>
      <c r="G257">
        <v>4206</v>
      </c>
      <c r="H257">
        <v>4838</v>
      </c>
      <c r="I257" s="1">
        <v>76.731999999999999</v>
      </c>
      <c r="K257">
        <v>0</v>
      </c>
      <c r="M257" t="b">
        <f t="shared" si="27"/>
        <v>0</v>
      </c>
      <c r="N257">
        <f t="shared" si="22"/>
        <v>0</v>
      </c>
      <c r="O257">
        <f t="shared" si="23"/>
        <v>1</v>
      </c>
      <c r="P257">
        <f t="shared" si="28"/>
        <v>6</v>
      </c>
      <c r="R257">
        <f t="shared" si="24"/>
        <v>6</v>
      </c>
      <c r="S257">
        <f t="shared" si="25"/>
        <v>8</v>
      </c>
      <c r="T257">
        <f t="shared" si="26"/>
        <v>0</v>
      </c>
    </row>
    <row r="258" spans="1:20" x14ac:dyDescent="0.2">
      <c r="A258" s="1">
        <v>45</v>
      </c>
      <c r="B258" s="1" t="s">
        <v>55</v>
      </c>
      <c r="C258" s="1">
        <v>29.718</v>
      </c>
      <c r="D258" s="1">
        <v>0</v>
      </c>
      <c r="E258">
        <v>5224</v>
      </c>
      <c r="F258">
        <v>3656</v>
      </c>
      <c r="I258" s="1">
        <v>94.522000000000006</v>
      </c>
      <c r="J258">
        <v>5.2999999999999999E-2</v>
      </c>
      <c r="M258" t="b">
        <f t="shared" si="27"/>
        <v>0</v>
      </c>
      <c r="N258">
        <f t="shared" si="22"/>
        <v>1</v>
      </c>
      <c r="O258">
        <f t="shared" si="23"/>
        <v>0</v>
      </c>
      <c r="P258">
        <f t="shared" si="28"/>
        <v>1</v>
      </c>
      <c r="R258">
        <f t="shared" si="24"/>
        <v>1</v>
      </c>
      <c r="S258">
        <f t="shared" si="25"/>
        <v>8</v>
      </c>
      <c r="T258">
        <f t="shared" si="26"/>
        <v>0</v>
      </c>
    </row>
    <row r="259" spans="1:20" x14ac:dyDescent="0.2">
      <c r="A259" s="1">
        <v>45</v>
      </c>
      <c r="B259" s="1" t="s">
        <v>55</v>
      </c>
      <c r="C259" s="1">
        <v>29.718</v>
      </c>
      <c r="D259" s="1">
        <v>1</v>
      </c>
      <c r="E259">
        <v>5221</v>
      </c>
      <c r="F259">
        <v>3654</v>
      </c>
      <c r="I259" s="1">
        <v>94.463999999999999</v>
      </c>
      <c r="J259">
        <v>0</v>
      </c>
      <c r="M259" t="b">
        <f t="shared" si="27"/>
        <v>0</v>
      </c>
      <c r="N259">
        <f t="shared" ref="N259:N322" si="29">IF(A259&gt;0,IF(E259&gt;0,1,0),0)</f>
        <v>1</v>
      </c>
      <c r="O259">
        <f t="shared" ref="O259:O322" si="30">D259</f>
        <v>1</v>
      </c>
      <c r="P259">
        <f t="shared" si="28"/>
        <v>2</v>
      </c>
      <c r="R259">
        <f t="shared" ref="R259:R322" si="31">IF(A259&gt;0,IF(A259=A258,R258+1,1),0)</f>
        <v>2</v>
      </c>
      <c r="S259">
        <f t="shared" si="25"/>
        <v>8</v>
      </c>
      <c r="T259">
        <f t="shared" si="26"/>
        <v>0</v>
      </c>
    </row>
    <row r="260" spans="1:20" x14ac:dyDescent="0.2">
      <c r="A260" s="1">
        <v>45</v>
      </c>
      <c r="B260" s="1" t="s">
        <v>55</v>
      </c>
      <c r="C260" s="1">
        <v>29.718</v>
      </c>
      <c r="D260" s="1">
        <v>0</v>
      </c>
      <c r="E260">
        <v>489</v>
      </c>
      <c r="F260">
        <v>345</v>
      </c>
      <c r="I260" s="1">
        <v>12.836</v>
      </c>
      <c r="J260">
        <v>7.6340000000000003</v>
      </c>
      <c r="M260" t="b">
        <f t="shared" si="27"/>
        <v>1</v>
      </c>
      <c r="N260">
        <f t="shared" si="29"/>
        <v>1</v>
      </c>
      <c r="O260">
        <f t="shared" si="30"/>
        <v>0</v>
      </c>
      <c r="P260">
        <f t="shared" si="28"/>
        <v>3</v>
      </c>
      <c r="R260">
        <f t="shared" si="31"/>
        <v>3</v>
      </c>
      <c r="S260">
        <f t="shared" ref="S260:S323" si="32">IF(A260&gt;0,IF(OR(R260=P260,P260-R260=P259-R259),S259,S259+P260-R260),0)</f>
        <v>8</v>
      </c>
      <c r="T260">
        <f t="shared" ref="T260:T323" si="33">IF(A260&gt;0,IF(AND(P260=6,P259=3,R260=4),T259+1,T259),0)</f>
        <v>0</v>
      </c>
    </row>
    <row r="261" spans="1:20" x14ac:dyDescent="0.2">
      <c r="A261" s="1">
        <v>45</v>
      </c>
      <c r="B261" s="1" t="s">
        <v>55</v>
      </c>
      <c r="C261" s="1">
        <v>29.718</v>
      </c>
      <c r="D261" s="1">
        <v>0</v>
      </c>
      <c r="G261">
        <v>518</v>
      </c>
      <c r="H261">
        <v>589</v>
      </c>
      <c r="I261" s="1">
        <v>13.52</v>
      </c>
      <c r="K261">
        <v>-13.48</v>
      </c>
      <c r="M261" t="b">
        <f t="shared" ref="M261:M324" si="34">IF(A261&gt;0,OR(AND(O261=0,O260=1,N260=1,N261=1),AND(O261=0,O263=1,N263=0)),0)</f>
        <v>1</v>
      </c>
      <c r="N261">
        <f t="shared" si="29"/>
        <v>0</v>
      </c>
      <c r="O261">
        <f t="shared" si="30"/>
        <v>0</v>
      </c>
      <c r="P261">
        <f t="shared" si="28"/>
        <v>4</v>
      </c>
      <c r="R261">
        <f t="shared" si="31"/>
        <v>4</v>
      </c>
      <c r="S261">
        <f t="shared" si="32"/>
        <v>8</v>
      </c>
      <c r="T261">
        <f t="shared" si="33"/>
        <v>0</v>
      </c>
    </row>
    <row r="262" spans="1:20" x14ac:dyDescent="0.2">
      <c r="A262" s="1">
        <v>45</v>
      </c>
      <c r="B262" s="1" t="s">
        <v>55</v>
      </c>
      <c r="C262" s="1">
        <v>29.718</v>
      </c>
      <c r="D262" s="1">
        <v>0</v>
      </c>
      <c r="G262">
        <v>4207</v>
      </c>
      <c r="H262">
        <v>4841</v>
      </c>
      <c r="I262" s="1">
        <v>76.495000000000005</v>
      </c>
      <c r="K262">
        <v>0.30599999999999999</v>
      </c>
      <c r="M262" t="b">
        <f t="shared" si="34"/>
        <v>0</v>
      </c>
      <c r="N262">
        <f t="shared" si="29"/>
        <v>0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5</v>
      </c>
      <c r="R262">
        <f t="shared" si="31"/>
        <v>5</v>
      </c>
      <c r="S262">
        <f t="shared" si="32"/>
        <v>8</v>
      </c>
      <c r="T262">
        <f t="shared" si="33"/>
        <v>0</v>
      </c>
    </row>
    <row r="263" spans="1:20" x14ac:dyDescent="0.2">
      <c r="A263" s="1">
        <v>45</v>
      </c>
      <c r="B263" s="1" t="s">
        <v>55</v>
      </c>
      <c r="C263" s="1">
        <v>29.718</v>
      </c>
      <c r="D263" s="1">
        <v>1</v>
      </c>
      <c r="G263">
        <v>4205</v>
      </c>
      <c r="H263">
        <v>4837</v>
      </c>
      <c r="I263" s="1">
        <v>76.822000000000003</v>
      </c>
      <c r="K263">
        <v>0</v>
      </c>
      <c r="M263" t="b">
        <f t="shared" si="34"/>
        <v>0</v>
      </c>
      <c r="N263">
        <f t="shared" si="29"/>
        <v>0</v>
      </c>
      <c r="O263">
        <f t="shared" si="30"/>
        <v>1</v>
      </c>
      <c r="P263">
        <f t="shared" si="35"/>
        <v>6</v>
      </c>
      <c r="R263">
        <f t="shared" si="31"/>
        <v>6</v>
      </c>
      <c r="S263">
        <f t="shared" si="32"/>
        <v>8</v>
      </c>
      <c r="T263">
        <f t="shared" si="33"/>
        <v>0</v>
      </c>
    </row>
    <row r="264" spans="1:20" x14ac:dyDescent="0.2">
      <c r="A264" s="1">
        <v>46</v>
      </c>
      <c r="B264" s="1" t="s">
        <v>56</v>
      </c>
      <c r="C264" s="1">
        <v>30.091999999999999</v>
      </c>
      <c r="D264" s="1">
        <v>0</v>
      </c>
      <c r="E264">
        <v>5222</v>
      </c>
      <c r="F264">
        <v>3654</v>
      </c>
      <c r="I264" s="1">
        <v>94.366</v>
      </c>
      <c r="J264">
        <v>6.9000000000000006E-2</v>
      </c>
      <c r="M264" t="b">
        <f t="shared" si="34"/>
        <v>0</v>
      </c>
      <c r="N264">
        <f t="shared" si="29"/>
        <v>1</v>
      </c>
      <c r="O264">
        <f t="shared" si="30"/>
        <v>0</v>
      </c>
      <c r="P264">
        <f t="shared" si="35"/>
        <v>1</v>
      </c>
      <c r="R264">
        <f t="shared" si="31"/>
        <v>1</v>
      </c>
      <c r="S264">
        <f t="shared" si="32"/>
        <v>8</v>
      </c>
      <c r="T264">
        <f t="shared" si="33"/>
        <v>0</v>
      </c>
    </row>
    <row r="265" spans="1:20" x14ac:dyDescent="0.2">
      <c r="A265" s="1">
        <v>46</v>
      </c>
      <c r="B265" s="1" t="s">
        <v>56</v>
      </c>
      <c r="C265" s="1">
        <v>30.091999999999999</v>
      </c>
      <c r="D265" s="1">
        <v>1</v>
      </c>
      <c r="E265">
        <v>5223</v>
      </c>
      <c r="F265">
        <v>3655</v>
      </c>
      <c r="I265" s="1">
        <v>94.435000000000002</v>
      </c>
      <c r="J265">
        <v>0</v>
      </c>
      <c r="M265" t="b">
        <f t="shared" si="34"/>
        <v>0</v>
      </c>
      <c r="N265">
        <f t="shared" si="29"/>
        <v>1</v>
      </c>
      <c r="O265">
        <f t="shared" si="30"/>
        <v>1</v>
      </c>
      <c r="P265">
        <f t="shared" si="35"/>
        <v>2</v>
      </c>
      <c r="R265">
        <f t="shared" si="31"/>
        <v>2</v>
      </c>
      <c r="S265">
        <f t="shared" si="32"/>
        <v>8</v>
      </c>
      <c r="T265">
        <f t="shared" si="33"/>
        <v>0</v>
      </c>
    </row>
    <row r="266" spans="1:20" x14ac:dyDescent="0.2">
      <c r="A266" s="1">
        <v>46</v>
      </c>
      <c r="B266" s="1" t="s">
        <v>56</v>
      </c>
      <c r="C266" s="1">
        <v>30.091999999999999</v>
      </c>
      <c r="D266" s="1">
        <v>0</v>
      </c>
      <c r="E266">
        <v>711</v>
      </c>
      <c r="F266">
        <v>502</v>
      </c>
      <c r="I266" s="1">
        <v>18.364999999999998</v>
      </c>
      <c r="J266">
        <v>7.7279999999999998</v>
      </c>
      <c r="M266" t="b">
        <f t="shared" si="34"/>
        <v>1</v>
      </c>
      <c r="N266">
        <f t="shared" si="29"/>
        <v>1</v>
      </c>
      <c r="O266">
        <f t="shared" si="30"/>
        <v>0</v>
      </c>
      <c r="P266">
        <f t="shared" si="35"/>
        <v>3</v>
      </c>
      <c r="R266">
        <f t="shared" si="31"/>
        <v>3</v>
      </c>
      <c r="S266">
        <f t="shared" si="32"/>
        <v>8</v>
      </c>
      <c r="T266">
        <f t="shared" si="33"/>
        <v>0</v>
      </c>
    </row>
    <row r="267" spans="1:20" x14ac:dyDescent="0.2">
      <c r="A267" s="1">
        <v>46</v>
      </c>
      <c r="B267" s="1" t="s">
        <v>56</v>
      </c>
      <c r="C267" s="1">
        <v>30.091999999999999</v>
      </c>
      <c r="D267" s="1">
        <v>0</v>
      </c>
      <c r="G267">
        <v>1059</v>
      </c>
      <c r="H267">
        <v>1204</v>
      </c>
      <c r="I267" s="1">
        <v>28.111000000000001</v>
      </c>
      <c r="K267">
        <v>-14.734999999999999</v>
      </c>
      <c r="M267" t="b">
        <f t="shared" si="34"/>
        <v>1</v>
      </c>
      <c r="N267">
        <f t="shared" si="29"/>
        <v>0</v>
      </c>
      <c r="O267">
        <f t="shared" si="30"/>
        <v>0</v>
      </c>
      <c r="P267">
        <f t="shared" si="35"/>
        <v>4</v>
      </c>
      <c r="R267">
        <f t="shared" si="31"/>
        <v>4</v>
      </c>
      <c r="S267">
        <f t="shared" si="32"/>
        <v>8</v>
      </c>
      <c r="T267">
        <f t="shared" si="33"/>
        <v>0</v>
      </c>
    </row>
    <row r="268" spans="1:20" x14ac:dyDescent="0.2">
      <c r="A268" s="1">
        <v>46</v>
      </c>
      <c r="B268" s="1" t="s">
        <v>56</v>
      </c>
      <c r="C268" s="1">
        <v>30.091999999999999</v>
      </c>
      <c r="D268" s="1">
        <v>0</v>
      </c>
      <c r="G268">
        <v>4206</v>
      </c>
      <c r="H268">
        <v>4839</v>
      </c>
      <c r="I268" s="1">
        <v>76.513000000000005</v>
      </c>
      <c r="K268">
        <v>0.316</v>
      </c>
      <c r="M268" t="b">
        <f t="shared" si="34"/>
        <v>0</v>
      </c>
      <c r="N268">
        <f t="shared" si="29"/>
        <v>0</v>
      </c>
      <c r="O268">
        <f t="shared" si="30"/>
        <v>0</v>
      </c>
      <c r="P268">
        <f t="shared" si="35"/>
        <v>5</v>
      </c>
      <c r="R268">
        <f t="shared" si="31"/>
        <v>5</v>
      </c>
      <c r="S268">
        <f t="shared" si="32"/>
        <v>8</v>
      </c>
      <c r="T268">
        <f t="shared" si="33"/>
        <v>0</v>
      </c>
    </row>
    <row r="269" spans="1:20" x14ac:dyDescent="0.2">
      <c r="A269" s="1">
        <v>46</v>
      </c>
      <c r="B269" s="1" t="s">
        <v>56</v>
      </c>
      <c r="C269" s="1">
        <v>30.091999999999999</v>
      </c>
      <c r="D269" s="1">
        <v>1</v>
      </c>
      <c r="G269">
        <v>4203</v>
      </c>
      <c r="H269">
        <v>4835</v>
      </c>
      <c r="I269" s="1">
        <v>76.838999999999999</v>
      </c>
      <c r="K269">
        <v>0</v>
      </c>
      <c r="M269" t="b">
        <f t="shared" si="34"/>
        <v>0</v>
      </c>
      <c r="N269">
        <f t="shared" si="29"/>
        <v>0</v>
      </c>
      <c r="O269">
        <f t="shared" si="30"/>
        <v>1</v>
      </c>
      <c r="P269">
        <f t="shared" si="35"/>
        <v>6</v>
      </c>
      <c r="R269">
        <f t="shared" si="31"/>
        <v>6</v>
      </c>
      <c r="S269">
        <f t="shared" si="32"/>
        <v>8</v>
      </c>
      <c r="T269">
        <f t="shared" si="33"/>
        <v>0</v>
      </c>
    </row>
    <row r="270" spans="1:20" x14ac:dyDescent="0.2">
      <c r="A270" s="1">
        <v>47</v>
      </c>
      <c r="B270" s="1" t="s">
        <v>57</v>
      </c>
      <c r="C270" s="1">
        <v>30.337</v>
      </c>
      <c r="D270" s="1">
        <v>0</v>
      </c>
      <c r="E270">
        <v>5222</v>
      </c>
      <c r="F270">
        <v>3654</v>
      </c>
      <c r="I270" s="1">
        <v>94.462000000000003</v>
      </c>
      <c r="J270">
        <v>9.4E-2</v>
      </c>
      <c r="M270" t="b">
        <f t="shared" si="34"/>
        <v>0</v>
      </c>
      <c r="N270">
        <f t="shared" si="29"/>
        <v>1</v>
      </c>
      <c r="O270">
        <f t="shared" si="30"/>
        <v>0</v>
      </c>
      <c r="P270">
        <f t="shared" si="35"/>
        <v>1</v>
      </c>
      <c r="R270">
        <f t="shared" si="31"/>
        <v>1</v>
      </c>
      <c r="S270">
        <f t="shared" si="32"/>
        <v>8</v>
      </c>
      <c r="T270">
        <f t="shared" si="33"/>
        <v>0</v>
      </c>
    </row>
    <row r="271" spans="1:20" x14ac:dyDescent="0.2">
      <c r="A271" s="1">
        <v>47</v>
      </c>
      <c r="B271" s="1" t="s">
        <v>57</v>
      </c>
      <c r="C271" s="1">
        <v>30.337</v>
      </c>
      <c r="D271" s="1">
        <v>1</v>
      </c>
      <c r="E271">
        <v>5219</v>
      </c>
      <c r="F271">
        <v>3652</v>
      </c>
      <c r="I271" s="1">
        <v>94.444999999999993</v>
      </c>
      <c r="J271">
        <v>0</v>
      </c>
      <c r="M271" t="b">
        <f t="shared" si="34"/>
        <v>0</v>
      </c>
      <c r="N271">
        <f t="shared" si="29"/>
        <v>1</v>
      </c>
      <c r="O271">
        <f t="shared" si="30"/>
        <v>1</v>
      </c>
      <c r="P271">
        <f t="shared" si="35"/>
        <v>2</v>
      </c>
      <c r="R271">
        <f t="shared" si="31"/>
        <v>2</v>
      </c>
      <c r="S271">
        <f t="shared" si="32"/>
        <v>8</v>
      </c>
      <c r="T271">
        <f t="shared" si="33"/>
        <v>0</v>
      </c>
    </row>
    <row r="272" spans="1:20" x14ac:dyDescent="0.2">
      <c r="A272" s="1">
        <v>47</v>
      </c>
      <c r="B272" s="1" t="s">
        <v>57</v>
      </c>
      <c r="C272" s="1">
        <v>30.337</v>
      </c>
      <c r="D272" s="1">
        <v>0</v>
      </c>
      <c r="E272">
        <v>619</v>
      </c>
      <c r="F272">
        <v>437</v>
      </c>
      <c r="I272" s="1">
        <v>16.236999999999998</v>
      </c>
      <c r="J272">
        <v>7.5179999999999998</v>
      </c>
      <c r="M272" t="b">
        <f t="shared" si="34"/>
        <v>1</v>
      </c>
      <c r="N272">
        <f t="shared" si="29"/>
        <v>1</v>
      </c>
      <c r="O272">
        <f t="shared" si="30"/>
        <v>0</v>
      </c>
      <c r="P272">
        <f t="shared" si="35"/>
        <v>3</v>
      </c>
      <c r="R272">
        <f t="shared" si="31"/>
        <v>3</v>
      </c>
      <c r="S272">
        <f t="shared" si="32"/>
        <v>8</v>
      </c>
      <c r="T272">
        <f t="shared" si="33"/>
        <v>0</v>
      </c>
    </row>
    <row r="273" spans="1:20" x14ac:dyDescent="0.2">
      <c r="A273" s="1">
        <v>47</v>
      </c>
      <c r="B273" s="1" t="s">
        <v>57</v>
      </c>
      <c r="C273" s="1">
        <v>30.337</v>
      </c>
      <c r="D273" s="1">
        <v>0</v>
      </c>
      <c r="G273">
        <v>555</v>
      </c>
      <c r="H273">
        <v>631</v>
      </c>
      <c r="I273" s="1">
        <v>14.582000000000001</v>
      </c>
      <c r="K273">
        <v>-13.023</v>
      </c>
      <c r="M273" t="b">
        <f t="shared" si="34"/>
        <v>1</v>
      </c>
      <c r="N273">
        <f t="shared" si="29"/>
        <v>0</v>
      </c>
      <c r="O273">
        <f t="shared" si="30"/>
        <v>0</v>
      </c>
      <c r="P273">
        <f t="shared" si="35"/>
        <v>4</v>
      </c>
      <c r="R273">
        <f t="shared" si="31"/>
        <v>4</v>
      </c>
      <c r="S273">
        <f t="shared" si="32"/>
        <v>8</v>
      </c>
      <c r="T273">
        <f t="shared" si="33"/>
        <v>0</v>
      </c>
    </row>
    <row r="274" spans="1:20" x14ac:dyDescent="0.2">
      <c r="A274" s="1">
        <v>47</v>
      </c>
      <c r="B274" s="1" t="s">
        <v>57</v>
      </c>
      <c r="C274" s="1">
        <v>30.337</v>
      </c>
      <c r="D274" s="1">
        <v>0</v>
      </c>
      <c r="G274">
        <v>4204</v>
      </c>
      <c r="H274">
        <v>4836</v>
      </c>
      <c r="I274" s="1">
        <v>76.480999999999995</v>
      </c>
      <c r="K274">
        <v>0.251</v>
      </c>
      <c r="M274" t="b">
        <f t="shared" si="34"/>
        <v>0</v>
      </c>
      <c r="N274">
        <f t="shared" si="29"/>
        <v>0</v>
      </c>
      <c r="O274">
        <f t="shared" si="30"/>
        <v>0</v>
      </c>
      <c r="P274">
        <f t="shared" si="35"/>
        <v>5</v>
      </c>
      <c r="R274">
        <f t="shared" si="31"/>
        <v>5</v>
      </c>
      <c r="S274">
        <f t="shared" si="32"/>
        <v>8</v>
      </c>
      <c r="T274">
        <f t="shared" si="33"/>
        <v>0</v>
      </c>
    </row>
    <row r="275" spans="1:20" x14ac:dyDescent="0.2">
      <c r="A275" s="1">
        <v>47</v>
      </c>
      <c r="B275" s="1" t="s">
        <v>57</v>
      </c>
      <c r="C275" s="1">
        <v>30.337</v>
      </c>
      <c r="D275" s="1">
        <v>1</v>
      </c>
      <c r="G275">
        <v>4200</v>
      </c>
      <c r="H275">
        <v>4832</v>
      </c>
      <c r="I275" s="1">
        <v>76.703999999999994</v>
      </c>
      <c r="K275">
        <v>0</v>
      </c>
      <c r="M275" t="b">
        <f t="shared" si="34"/>
        <v>0</v>
      </c>
      <c r="N275">
        <f t="shared" si="29"/>
        <v>0</v>
      </c>
      <c r="O275">
        <f t="shared" si="30"/>
        <v>1</v>
      </c>
      <c r="P275">
        <f t="shared" si="35"/>
        <v>6</v>
      </c>
      <c r="R275">
        <f t="shared" si="31"/>
        <v>6</v>
      </c>
      <c r="S275">
        <f t="shared" si="32"/>
        <v>8</v>
      </c>
      <c r="T275">
        <f t="shared" si="33"/>
        <v>0</v>
      </c>
    </row>
    <row r="276" spans="1:20" x14ac:dyDescent="0.2">
      <c r="A276" s="1">
        <v>48</v>
      </c>
      <c r="B276" s="1" t="s">
        <v>58</v>
      </c>
      <c r="C276" s="1">
        <v>11.997</v>
      </c>
      <c r="D276" s="1">
        <v>0</v>
      </c>
      <c r="E276" s="1">
        <v>5227</v>
      </c>
      <c r="F276" s="1">
        <v>3657</v>
      </c>
      <c r="I276" s="1">
        <v>94.43</v>
      </c>
      <c r="J276" s="1">
        <v>0.29499999999999998</v>
      </c>
      <c r="M276" t="b">
        <f t="shared" si="34"/>
        <v>0</v>
      </c>
      <c r="N276">
        <f t="shared" si="29"/>
        <v>1</v>
      </c>
      <c r="O276">
        <f t="shared" si="30"/>
        <v>0</v>
      </c>
      <c r="P276">
        <f t="shared" si="35"/>
        <v>1</v>
      </c>
      <c r="R276">
        <f t="shared" si="31"/>
        <v>1</v>
      </c>
      <c r="S276">
        <f t="shared" si="32"/>
        <v>8</v>
      </c>
      <c r="T276">
        <f t="shared" si="33"/>
        <v>0</v>
      </c>
    </row>
    <row r="277" spans="1:20" x14ac:dyDescent="0.2">
      <c r="A277" s="1">
        <v>48</v>
      </c>
      <c r="B277" s="1" t="s">
        <v>58</v>
      </c>
      <c r="C277" s="1">
        <v>11.997</v>
      </c>
      <c r="D277" s="1">
        <v>1</v>
      </c>
      <c r="E277" s="1">
        <v>5222</v>
      </c>
      <c r="F277" s="1">
        <v>3653</v>
      </c>
      <c r="I277" s="1">
        <v>94.471999999999994</v>
      </c>
      <c r="J277" s="1">
        <v>0</v>
      </c>
      <c r="M277" t="b">
        <f t="shared" si="34"/>
        <v>0</v>
      </c>
      <c r="N277">
        <f t="shared" si="29"/>
        <v>1</v>
      </c>
      <c r="O277">
        <f t="shared" si="30"/>
        <v>1</v>
      </c>
      <c r="P277">
        <f t="shared" si="35"/>
        <v>2</v>
      </c>
      <c r="R277">
        <f t="shared" si="31"/>
        <v>2</v>
      </c>
      <c r="S277">
        <f t="shared" si="32"/>
        <v>8</v>
      </c>
      <c r="T277">
        <f t="shared" si="33"/>
        <v>0</v>
      </c>
    </row>
    <row r="278" spans="1:20" x14ac:dyDescent="0.2">
      <c r="A278" s="1">
        <v>48</v>
      </c>
      <c r="B278" s="1" t="s">
        <v>58</v>
      </c>
      <c r="C278" s="1">
        <v>11.997</v>
      </c>
      <c r="D278" s="1">
        <v>0</v>
      </c>
      <c r="G278" s="1">
        <v>4205</v>
      </c>
      <c r="H278" s="1">
        <v>4836</v>
      </c>
      <c r="I278" s="1">
        <v>76.269000000000005</v>
      </c>
      <c r="K278" s="1">
        <v>0.33300000000000002</v>
      </c>
      <c r="M278" t="b">
        <f t="shared" si="34"/>
        <v>0</v>
      </c>
      <c r="N278">
        <f t="shared" si="29"/>
        <v>0</v>
      </c>
      <c r="O278">
        <f t="shared" si="30"/>
        <v>0</v>
      </c>
      <c r="P278">
        <f t="shared" si="35"/>
        <v>5</v>
      </c>
      <c r="R278">
        <f t="shared" si="31"/>
        <v>3</v>
      </c>
      <c r="S278">
        <f t="shared" si="32"/>
        <v>10</v>
      </c>
      <c r="T278">
        <f t="shared" si="33"/>
        <v>0</v>
      </c>
    </row>
    <row r="279" spans="1:20" x14ac:dyDescent="0.2">
      <c r="A279" s="1">
        <v>48</v>
      </c>
      <c r="B279" s="1" t="s">
        <v>58</v>
      </c>
      <c r="C279" s="1">
        <v>11.997</v>
      </c>
      <c r="D279" s="1">
        <v>1</v>
      </c>
      <c r="G279" s="1">
        <v>4205</v>
      </c>
      <c r="H279" s="1">
        <v>4835</v>
      </c>
      <c r="I279" s="1">
        <v>76.736000000000004</v>
      </c>
      <c r="K279" s="1">
        <v>0</v>
      </c>
      <c r="M279" t="b">
        <f t="shared" si="34"/>
        <v>0</v>
      </c>
      <c r="N279">
        <f t="shared" si="29"/>
        <v>0</v>
      </c>
      <c r="O279">
        <f t="shared" si="30"/>
        <v>1</v>
      </c>
      <c r="P279">
        <f t="shared" si="35"/>
        <v>6</v>
      </c>
      <c r="R279">
        <f t="shared" si="31"/>
        <v>4</v>
      </c>
      <c r="S279">
        <f t="shared" si="32"/>
        <v>10</v>
      </c>
      <c r="T279">
        <f t="shared" si="33"/>
        <v>0</v>
      </c>
    </row>
    <row r="280" spans="1:20" x14ac:dyDescent="0.2">
      <c r="A280" s="1">
        <v>49</v>
      </c>
      <c r="B280" s="1" t="s">
        <v>59</v>
      </c>
      <c r="C280" s="1">
        <v>29.988</v>
      </c>
      <c r="D280" s="1">
        <v>0</v>
      </c>
      <c r="E280" s="1">
        <v>5229</v>
      </c>
      <c r="F280" s="1">
        <v>3657</v>
      </c>
      <c r="I280" s="1">
        <v>94.516000000000005</v>
      </c>
      <c r="J280" s="1">
        <v>9.8000000000000004E-2</v>
      </c>
      <c r="M280" t="b">
        <f t="shared" si="34"/>
        <v>0</v>
      </c>
      <c r="N280">
        <f t="shared" si="29"/>
        <v>1</v>
      </c>
      <c r="O280">
        <f t="shared" si="30"/>
        <v>0</v>
      </c>
      <c r="P280">
        <f t="shared" si="35"/>
        <v>1</v>
      </c>
      <c r="R280">
        <f t="shared" si="31"/>
        <v>1</v>
      </c>
      <c r="S280">
        <f t="shared" si="32"/>
        <v>10</v>
      </c>
      <c r="T280">
        <f t="shared" si="33"/>
        <v>0</v>
      </c>
    </row>
    <row r="281" spans="1:20" x14ac:dyDescent="0.2">
      <c r="A281" s="1">
        <v>49</v>
      </c>
      <c r="B281" s="1" t="s">
        <v>59</v>
      </c>
      <c r="C281" s="1">
        <v>29.988</v>
      </c>
      <c r="D281" s="1">
        <v>1</v>
      </c>
      <c r="E281" s="1">
        <v>5224</v>
      </c>
      <c r="F281" s="1">
        <v>3653</v>
      </c>
      <c r="I281" s="1">
        <v>94.509</v>
      </c>
      <c r="J281" s="1">
        <v>0</v>
      </c>
      <c r="M281" t="b">
        <f t="shared" si="34"/>
        <v>0</v>
      </c>
      <c r="N281">
        <f t="shared" si="29"/>
        <v>1</v>
      </c>
      <c r="O281">
        <f t="shared" si="30"/>
        <v>1</v>
      </c>
      <c r="P281">
        <f t="shared" si="35"/>
        <v>2</v>
      </c>
      <c r="R281">
        <f t="shared" si="31"/>
        <v>2</v>
      </c>
      <c r="S281">
        <f t="shared" si="32"/>
        <v>10</v>
      </c>
      <c r="T281">
        <f t="shared" si="33"/>
        <v>0</v>
      </c>
    </row>
    <row r="282" spans="1:20" x14ac:dyDescent="0.2">
      <c r="A282" s="1">
        <v>49</v>
      </c>
      <c r="B282" s="1" t="s">
        <v>59</v>
      </c>
      <c r="C282" s="1">
        <v>29.988</v>
      </c>
      <c r="D282" s="1">
        <v>0</v>
      </c>
      <c r="E282" s="1">
        <v>627</v>
      </c>
      <c r="F282" s="1">
        <v>442</v>
      </c>
      <c r="I282" s="1">
        <v>16.353000000000002</v>
      </c>
      <c r="J282" s="1">
        <v>7.6539999999999999</v>
      </c>
      <c r="M282" t="b">
        <f t="shared" si="34"/>
        <v>1</v>
      </c>
      <c r="N282">
        <f t="shared" si="29"/>
        <v>1</v>
      </c>
      <c r="O282">
        <f t="shared" si="30"/>
        <v>0</v>
      </c>
      <c r="P282">
        <f t="shared" si="35"/>
        <v>3</v>
      </c>
      <c r="R282">
        <f t="shared" si="31"/>
        <v>3</v>
      </c>
      <c r="S282">
        <f t="shared" si="32"/>
        <v>10</v>
      </c>
      <c r="T282">
        <f t="shared" si="33"/>
        <v>0</v>
      </c>
    </row>
    <row r="283" spans="1:20" x14ac:dyDescent="0.2">
      <c r="A283" s="1">
        <v>49</v>
      </c>
      <c r="B283" s="1" t="s">
        <v>59</v>
      </c>
      <c r="C283" s="1">
        <v>29.988</v>
      </c>
      <c r="D283" s="1">
        <v>0</v>
      </c>
      <c r="G283" s="1">
        <v>646</v>
      </c>
      <c r="H283" s="1">
        <v>734</v>
      </c>
      <c r="I283" s="1">
        <v>16.803000000000001</v>
      </c>
      <c r="K283" s="1">
        <v>-13.6</v>
      </c>
      <c r="M283" t="b">
        <f t="shared" si="34"/>
        <v>1</v>
      </c>
      <c r="N283">
        <f t="shared" si="29"/>
        <v>0</v>
      </c>
      <c r="O283">
        <f t="shared" si="30"/>
        <v>0</v>
      </c>
      <c r="P283">
        <f t="shared" si="35"/>
        <v>4</v>
      </c>
      <c r="R283">
        <f t="shared" si="31"/>
        <v>4</v>
      </c>
      <c r="S283">
        <f t="shared" si="32"/>
        <v>10</v>
      </c>
      <c r="T283">
        <f t="shared" si="33"/>
        <v>0</v>
      </c>
    </row>
    <row r="284" spans="1:20" x14ac:dyDescent="0.2">
      <c r="A284" s="1">
        <v>49</v>
      </c>
      <c r="B284" s="1" t="s">
        <v>59</v>
      </c>
      <c r="C284" s="1">
        <v>29.988</v>
      </c>
      <c r="D284" s="1">
        <v>0</v>
      </c>
      <c r="G284" s="1">
        <v>4211</v>
      </c>
      <c r="H284" s="1">
        <v>4843</v>
      </c>
      <c r="I284" s="1">
        <v>76.566000000000003</v>
      </c>
      <c r="K284" s="1">
        <v>0.28499999999999998</v>
      </c>
      <c r="M284" t="b">
        <f t="shared" si="34"/>
        <v>0</v>
      </c>
      <c r="N284">
        <f t="shared" si="29"/>
        <v>0</v>
      </c>
      <c r="O284">
        <f t="shared" si="30"/>
        <v>0</v>
      </c>
      <c r="P284">
        <f t="shared" si="35"/>
        <v>5</v>
      </c>
      <c r="R284">
        <f t="shared" si="31"/>
        <v>5</v>
      </c>
      <c r="S284">
        <f t="shared" si="32"/>
        <v>10</v>
      </c>
      <c r="T284">
        <f t="shared" si="33"/>
        <v>0</v>
      </c>
    </row>
    <row r="285" spans="1:20" x14ac:dyDescent="0.2">
      <c r="A285" s="1">
        <v>49</v>
      </c>
      <c r="B285" s="1" t="s">
        <v>59</v>
      </c>
      <c r="C285" s="1">
        <v>29.988</v>
      </c>
      <c r="D285" s="1">
        <v>1</v>
      </c>
      <c r="G285" s="1">
        <v>4209</v>
      </c>
      <c r="H285" s="1">
        <v>4839</v>
      </c>
      <c r="I285" s="1">
        <v>76.816000000000003</v>
      </c>
      <c r="K285" s="1">
        <v>0</v>
      </c>
      <c r="M285" t="b">
        <f t="shared" si="34"/>
        <v>0</v>
      </c>
      <c r="N285">
        <f t="shared" si="29"/>
        <v>0</v>
      </c>
      <c r="O285">
        <f t="shared" si="30"/>
        <v>1</v>
      </c>
      <c r="P285">
        <f t="shared" si="35"/>
        <v>6</v>
      </c>
      <c r="R285">
        <f t="shared" si="31"/>
        <v>6</v>
      </c>
      <c r="S285">
        <f t="shared" si="32"/>
        <v>10</v>
      </c>
      <c r="T285">
        <f t="shared" si="33"/>
        <v>0</v>
      </c>
    </row>
    <row r="286" spans="1:20" x14ac:dyDescent="0.2">
      <c r="A286" s="1">
        <v>50</v>
      </c>
      <c r="B286" s="1" t="s">
        <v>60</v>
      </c>
      <c r="C286" s="1">
        <v>30.54</v>
      </c>
      <c r="D286" s="1">
        <v>0</v>
      </c>
      <c r="E286" s="1">
        <v>5232</v>
      </c>
      <c r="F286" s="1">
        <v>3660</v>
      </c>
      <c r="I286" s="1">
        <v>94.581999999999994</v>
      </c>
      <c r="J286" s="1">
        <v>7.2999999999999995E-2</v>
      </c>
      <c r="M286" t="b">
        <f t="shared" si="34"/>
        <v>0</v>
      </c>
      <c r="N286">
        <f t="shared" si="29"/>
        <v>1</v>
      </c>
      <c r="O286">
        <f t="shared" si="30"/>
        <v>0</v>
      </c>
      <c r="P286">
        <f t="shared" si="35"/>
        <v>1</v>
      </c>
      <c r="R286">
        <f t="shared" si="31"/>
        <v>1</v>
      </c>
      <c r="S286">
        <f t="shared" si="32"/>
        <v>10</v>
      </c>
      <c r="T286">
        <f t="shared" si="33"/>
        <v>0</v>
      </c>
    </row>
    <row r="287" spans="1:20" x14ac:dyDescent="0.2">
      <c r="A287" s="1">
        <v>50</v>
      </c>
      <c r="B287" s="1" t="s">
        <v>60</v>
      </c>
      <c r="C287" s="1">
        <v>30.54</v>
      </c>
      <c r="D287" s="1">
        <v>1</v>
      </c>
      <c r="E287" s="1">
        <v>5228</v>
      </c>
      <c r="F287" s="1">
        <v>3657</v>
      </c>
      <c r="I287" s="1">
        <v>94.522000000000006</v>
      </c>
      <c r="J287" s="1">
        <v>0</v>
      </c>
      <c r="M287" t="b">
        <f t="shared" si="34"/>
        <v>0</v>
      </c>
      <c r="N287">
        <f t="shared" si="29"/>
        <v>1</v>
      </c>
      <c r="O287">
        <f t="shared" si="30"/>
        <v>1</v>
      </c>
      <c r="P287">
        <f t="shared" si="35"/>
        <v>2</v>
      </c>
      <c r="R287">
        <f t="shared" si="31"/>
        <v>2</v>
      </c>
      <c r="S287">
        <f t="shared" si="32"/>
        <v>10</v>
      </c>
      <c r="T287">
        <f t="shared" si="33"/>
        <v>0</v>
      </c>
    </row>
    <row r="288" spans="1:20" x14ac:dyDescent="0.2">
      <c r="A288" s="1">
        <v>50</v>
      </c>
      <c r="B288" s="1" t="s">
        <v>60</v>
      </c>
      <c r="C288" s="1">
        <v>30.54</v>
      </c>
      <c r="D288" s="1">
        <v>0</v>
      </c>
      <c r="E288" s="1">
        <v>596</v>
      </c>
      <c r="F288" s="1">
        <v>420</v>
      </c>
      <c r="I288" s="1">
        <v>15.568</v>
      </c>
      <c r="J288" s="1">
        <v>6.8769999999999998</v>
      </c>
      <c r="M288" t="b">
        <f t="shared" si="34"/>
        <v>1</v>
      </c>
      <c r="N288">
        <f t="shared" si="29"/>
        <v>1</v>
      </c>
      <c r="O288">
        <f t="shared" si="30"/>
        <v>0</v>
      </c>
      <c r="P288">
        <f t="shared" si="35"/>
        <v>3</v>
      </c>
      <c r="R288">
        <f t="shared" si="31"/>
        <v>3</v>
      </c>
      <c r="S288">
        <f t="shared" si="32"/>
        <v>10</v>
      </c>
      <c r="T288">
        <f t="shared" si="33"/>
        <v>0</v>
      </c>
    </row>
    <row r="289" spans="1:20" x14ac:dyDescent="0.2">
      <c r="A289" s="1">
        <v>50</v>
      </c>
      <c r="B289" s="1" t="s">
        <v>60</v>
      </c>
      <c r="C289" s="1">
        <v>30.54</v>
      </c>
      <c r="D289" s="1">
        <v>0</v>
      </c>
      <c r="G289" s="1">
        <v>453</v>
      </c>
      <c r="H289" s="1">
        <v>515</v>
      </c>
      <c r="I289" s="1">
        <v>11.805999999999999</v>
      </c>
      <c r="K289" s="1">
        <v>-12.46</v>
      </c>
      <c r="M289" t="b">
        <f t="shared" si="34"/>
        <v>1</v>
      </c>
      <c r="N289">
        <f t="shared" si="29"/>
        <v>0</v>
      </c>
      <c r="O289">
        <f t="shared" si="30"/>
        <v>0</v>
      </c>
      <c r="P289">
        <f t="shared" si="35"/>
        <v>4</v>
      </c>
      <c r="R289">
        <f t="shared" si="31"/>
        <v>4</v>
      </c>
      <c r="S289">
        <f t="shared" si="32"/>
        <v>10</v>
      </c>
      <c r="T289">
        <f t="shared" si="33"/>
        <v>0</v>
      </c>
    </row>
    <row r="290" spans="1:20" x14ac:dyDescent="0.2">
      <c r="A290" s="1">
        <v>50</v>
      </c>
      <c r="B290" s="1" t="s">
        <v>60</v>
      </c>
      <c r="C290" s="1">
        <v>30.54</v>
      </c>
      <c r="D290" s="1">
        <v>0</v>
      </c>
      <c r="G290" s="1">
        <v>4214</v>
      </c>
      <c r="H290" s="1">
        <v>4847</v>
      </c>
      <c r="I290" s="1">
        <v>76.692999999999998</v>
      </c>
      <c r="K290" s="1">
        <v>0.313</v>
      </c>
      <c r="M290" t="b">
        <f t="shared" si="34"/>
        <v>0</v>
      </c>
      <c r="N290">
        <f t="shared" si="29"/>
        <v>0</v>
      </c>
      <c r="O290">
        <f t="shared" si="30"/>
        <v>0</v>
      </c>
      <c r="P290">
        <f t="shared" si="35"/>
        <v>5</v>
      </c>
      <c r="R290">
        <f t="shared" si="31"/>
        <v>5</v>
      </c>
      <c r="S290">
        <f t="shared" si="32"/>
        <v>10</v>
      </c>
      <c r="T290">
        <f t="shared" si="33"/>
        <v>0</v>
      </c>
    </row>
    <row r="291" spans="1:20" x14ac:dyDescent="0.2">
      <c r="A291" s="1">
        <v>50</v>
      </c>
      <c r="B291" s="1" t="s">
        <v>60</v>
      </c>
      <c r="C291" s="1">
        <v>30.54</v>
      </c>
      <c r="D291" s="1">
        <v>1</v>
      </c>
      <c r="G291" s="1">
        <v>4210</v>
      </c>
      <c r="H291" s="1">
        <v>4841</v>
      </c>
      <c r="I291" s="1">
        <v>76.864999999999995</v>
      </c>
      <c r="K291" s="1">
        <v>0</v>
      </c>
      <c r="M291" t="b">
        <f t="shared" si="34"/>
        <v>0</v>
      </c>
      <c r="N291">
        <f t="shared" si="29"/>
        <v>0</v>
      </c>
      <c r="O291">
        <f t="shared" si="30"/>
        <v>1</v>
      </c>
      <c r="P291">
        <f t="shared" si="35"/>
        <v>6</v>
      </c>
      <c r="R291">
        <f t="shared" si="31"/>
        <v>6</v>
      </c>
      <c r="S291">
        <f t="shared" si="32"/>
        <v>10</v>
      </c>
      <c r="T291">
        <f t="shared" si="33"/>
        <v>0</v>
      </c>
    </row>
    <row r="292" spans="1:20" x14ac:dyDescent="0.2">
      <c r="A292" s="1">
        <v>51</v>
      </c>
      <c r="B292" s="1" t="s">
        <v>61</v>
      </c>
      <c r="C292" s="1">
        <v>4.0030000000000001</v>
      </c>
      <c r="D292" s="1">
        <v>0</v>
      </c>
      <c r="E292" s="1">
        <v>5234</v>
      </c>
      <c r="F292" s="1">
        <v>3662</v>
      </c>
      <c r="I292" s="1">
        <v>94.555999999999997</v>
      </c>
      <c r="J292" s="1">
        <v>9.0999999999999998E-2</v>
      </c>
      <c r="M292" t="b">
        <f t="shared" si="34"/>
        <v>0</v>
      </c>
      <c r="N292">
        <f t="shared" si="29"/>
        <v>1</v>
      </c>
      <c r="O292">
        <f t="shared" si="30"/>
        <v>0</v>
      </c>
      <c r="P292">
        <f t="shared" si="35"/>
        <v>1</v>
      </c>
      <c r="R292">
        <f t="shared" si="31"/>
        <v>1</v>
      </c>
      <c r="S292">
        <f t="shared" si="32"/>
        <v>10</v>
      </c>
      <c r="T292">
        <f t="shared" si="33"/>
        <v>0</v>
      </c>
    </row>
    <row r="293" spans="1:20" x14ac:dyDescent="0.2">
      <c r="A293" s="1">
        <v>51</v>
      </c>
      <c r="B293" s="1" t="s">
        <v>61</v>
      </c>
      <c r="C293" s="1">
        <v>4.0030000000000001</v>
      </c>
      <c r="D293" s="1">
        <v>1</v>
      </c>
      <c r="E293" s="1">
        <v>5229</v>
      </c>
      <c r="F293" s="1">
        <v>3658</v>
      </c>
      <c r="I293" s="1">
        <v>94.516999999999996</v>
      </c>
      <c r="J293" s="1">
        <v>0</v>
      </c>
      <c r="M293" t="b">
        <f t="shared" si="34"/>
        <v>0</v>
      </c>
      <c r="N293">
        <f t="shared" si="29"/>
        <v>1</v>
      </c>
      <c r="O293">
        <f t="shared" si="30"/>
        <v>1</v>
      </c>
      <c r="P293">
        <f t="shared" si="35"/>
        <v>2</v>
      </c>
      <c r="R293">
        <f t="shared" si="31"/>
        <v>2</v>
      </c>
      <c r="S293">
        <f t="shared" si="32"/>
        <v>10</v>
      </c>
      <c r="T293">
        <f t="shared" si="33"/>
        <v>0</v>
      </c>
    </row>
    <row r="294" spans="1:20" x14ac:dyDescent="0.2">
      <c r="A294" s="1">
        <v>51</v>
      </c>
      <c r="B294" s="1" t="s">
        <v>61</v>
      </c>
      <c r="C294" s="1">
        <v>4.0030000000000001</v>
      </c>
      <c r="D294" s="1">
        <v>0</v>
      </c>
      <c r="E294" s="1">
        <v>1625</v>
      </c>
      <c r="F294" s="1">
        <v>1141</v>
      </c>
      <c r="I294" s="1">
        <v>37.978000000000002</v>
      </c>
      <c r="J294" s="1">
        <v>3.0059999999999998</v>
      </c>
      <c r="M294" t="b">
        <f t="shared" si="34"/>
        <v>1</v>
      </c>
      <c r="N294">
        <f t="shared" si="29"/>
        <v>1</v>
      </c>
      <c r="O294">
        <f t="shared" si="30"/>
        <v>0</v>
      </c>
      <c r="P294">
        <f t="shared" si="35"/>
        <v>3</v>
      </c>
      <c r="R294">
        <f t="shared" si="31"/>
        <v>3</v>
      </c>
      <c r="S294">
        <f t="shared" si="32"/>
        <v>10</v>
      </c>
      <c r="T294">
        <f t="shared" si="33"/>
        <v>0</v>
      </c>
    </row>
    <row r="295" spans="1:20" x14ac:dyDescent="0.2">
      <c r="A295" s="1">
        <v>51</v>
      </c>
      <c r="B295" s="1" t="s">
        <v>61</v>
      </c>
      <c r="C295" s="1">
        <v>4.0030000000000001</v>
      </c>
      <c r="D295" s="1">
        <v>0</v>
      </c>
      <c r="G295" s="1">
        <v>3675</v>
      </c>
      <c r="H295" s="1">
        <v>4186</v>
      </c>
      <c r="I295" s="1">
        <v>108.706</v>
      </c>
      <c r="K295" s="1">
        <v>-18.047000000000001</v>
      </c>
      <c r="M295" t="b">
        <f t="shared" si="34"/>
        <v>1</v>
      </c>
      <c r="N295">
        <f t="shared" si="29"/>
        <v>0</v>
      </c>
      <c r="O295">
        <f t="shared" si="30"/>
        <v>0</v>
      </c>
      <c r="P295">
        <f t="shared" si="35"/>
        <v>4</v>
      </c>
      <c r="R295">
        <f t="shared" si="31"/>
        <v>4</v>
      </c>
      <c r="S295">
        <f t="shared" si="32"/>
        <v>10</v>
      </c>
      <c r="T295">
        <f t="shared" si="33"/>
        <v>0</v>
      </c>
    </row>
    <row r="296" spans="1:20" x14ac:dyDescent="0.2">
      <c r="A296" s="1">
        <v>51</v>
      </c>
      <c r="B296" s="1" t="s">
        <v>61</v>
      </c>
      <c r="C296" s="1">
        <v>4.0030000000000001</v>
      </c>
      <c r="D296" s="1">
        <v>0</v>
      </c>
      <c r="G296" s="1">
        <v>4214</v>
      </c>
      <c r="H296" s="1">
        <v>4847</v>
      </c>
      <c r="I296" s="1">
        <v>76.631</v>
      </c>
      <c r="K296" s="1">
        <v>0.24099999999999999</v>
      </c>
      <c r="M296" t="b">
        <f t="shared" si="34"/>
        <v>0</v>
      </c>
      <c r="N296">
        <f t="shared" si="29"/>
        <v>0</v>
      </c>
      <c r="O296">
        <f t="shared" si="30"/>
        <v>0</v>
      </c>
      <c r="P296">
        <f t="shared" si="35"/>
        <v>5</v>
      </c>
      <c r="R296">
        <f t="shared" si="31"/>
        <v>5</v>
      </c>
      <c r="S296">
        <f t="shared" si="32"/>
        <v>10</v>
      </c>
      <c r="T296">
        <f t="shared" si="33"/>
        <v>0</v>
      </c>
    </row>
    <row r="297" spans="1:20" x14ac:dyDescent="0.2">
      <c r="A297" s="1">
        <v>51</v>
      </c>
      <c r="B297" s="1" t="s">
        <v>61</v>
      </c>
      <c r="C297" s="1">
        <v>4.0030000000000001</v>
      </c>
      <c r="D297" s="1">
        <v>1</v>
      </c>
      <c r="G297" s="1">
        <v>4209</v>
      </c>
      <c r="H297" s="1">
        <v>4840</v>
      </c>
      <c r="I297" s="1">
        <v>76.83</v>
      </c>
      <c r="K297" s="1">
        <v>0</v>
      </c>
      <c r="M297" t="b">
        <f t="shared" si="34"/>
        <v>0</v>
      </c>
      <c r="N297">
        <f t="shared" si="29"/>
        <v>0</v>
      </c>
      <c r="O297">
        <f t="shared" si="30"/>
        <v>1</v>
      </c>
      <c r="P297">
        <f t="shared" si="35"/>
        <v>6</v>
      </c>
      <c r="R297">
        <f t="shared" si="31"/>
        <v>6</v>
      </c>
      <c r="S297">
        <f t="shared" si="32"/>
        <v>10</v>
      </c>
      <c r="T297">
        <f t="shared" si="33"/>
        <v>0</v>
      </c>
    </row>
    <row r="298" spans="1:20" x14ac:dyDescent="0.2">
      <c r="A298" s="1">
        <v>52</v>
      </c>
      <c r="B298" s="1" t="s">
        <v>62</v>
      </c>
      <c r="C298" s="1">
        <v>3.9969999999999999</v>
      </c>
      <c r="D298" s="1">
        <v>0</v>
      </c>
      <c r="E298" s="1">
        <v>5229</v>
      </c>
      <c r="F298" s="1">
        <v>3659</v>
      </c>
      <c r="I298" s="1">
        <v>94.585999999999999</v>
      </c>
      <c r="J298" s="1">
        <v>3.3000000000000002E-2</v>
      </c>
      <c r="M298" t="b">
        <f t="shared" si="34"/>
        <v>0</v>
      </c>
      <c r="N298">
        <f t="shared" si="29"/>
        <v>1</v>
      </c>
      <c r="O298">
        <f t="shared" si="30"/>
        <v>0</v>
      </c>
      <c r="P298">
        <f t="shared" si="35"/>
        <v>1</v>
      </c>
      <c r="R298">
        <f t="shared" si="31"/>
        <v>1</v>
      </c>
      <c r="S298">
        <f t="shared" si="32"/>
        <v>10</v>
      </c>
      <c r="T298">
        <f t="shared" si="33"/>
        <v>0</v>
      </c>
    </row>
    <row r="299" spans="1:20" x14ac:dyDescent="0.2">
      <c r="A299" s="1">
        <v>52</v>
      </c>
      <c r="B299" s="1" t="s">
        <v>62</v>
      </c>
      <c r="C299" s="1">
        <v>3.9969999999999999</v>
      </c>
      <c r="D299" s="1">
        <v>1</v>
      </c>
      <c r="E299" s="1">
        <v>5225</v>
      </c>
      <c r="F299" s="1">
        <v>3656</v>
      </c>
      <c r="I299" s="1">
        <v>94.542000000000002</v>
      </c>
      <c r="J299" s="1">
        <v>0</v>
      </c>
      <c r="M299" t="b">
        <f t="shared" si="34"/>
        <v>0</v>
      </c>
      <c r="N299">
        <f t="shared" si="29"/>
        <v>1</v>
      </c>
      <c r="O299">
        <f t="shared" si="30"/>
        <v>1</v>
      </c>
      <c r="P299">
        <f t="shared" si="35"/>
        <v>2</v>
      </c>
      <c r="R299">
        <f t="shared" si="31"/>
        <v>2</v>
      </c>
      <c r="S299">
        <f t="shared" si="32"/>
        <v>10</v>
      </c>
      <c r="T299">
        <f t="shared" si="33"/>
        <v>0</v>
      </c>
    </row>
    <row r="300" spans="1:20" x14ac:dyDescent="0.2">
      <c r="A300" s="1">
        <v>52</v>
      </c>
      <c r="B300" s="1" t="s">
        <v>62</v>
      </c>
      <c r="C300" s="1">
        <v>3.9969999999999999</v>
      </c>
      <c r="D300" s="1">
        <v>0</v>
      </c>
      <c r="E300" s="1">
        <v>537</v>
      </c>
      <c r="F300" s="1">
        <v>378</v>
      </c>
      <c r="I300" s="1">
        <v>13.34</v>
      </c>
      <c r="J300" s="1">
        <v>4.5439999999999996</v>
      </c>
      <c r="M300" t="b">
        <f t="shared" si="34"/>
        <v>1</v>
      </c>
      <c r="N300">
        <f t="shared" si="29"/>
        <v>1</v>
      </c>
      <c r="O300">
        <f t="shared" si="30"/>
        <v>0</v>
      </c>
      <c r="P300">
        <f t="shared" si="35"/>
        <v>3</v>
      </c>
      <c r="R300">
        <f t="shared" si="31"/>
        <v>3</v>
      </c>
      <c r="S300">
        <f t="shared" si="32"/>
        <v>10</v>
      </c>
      <c r="T300">
        <f t="shared" si="33"/>
        <v>0</v>
      </c>
    </row>
    <row r="301" spans="1:20" x14ac:dyDescent="0.2">
      <c r="A301" s="1">
        <v>52</v>
      </c>
      <c r="B301" s="1" t="s">
        <v>62</v>
      </c>
      <c r="C301" s="1">
        <v>3.9969999999999999</v>
      </c>
      <c r="D301" s="1">
        <v>0</v>
      </c>
      <c r="G301" s="1">
        <v>1342</v>
      </c>
      <c r="H301" s="1">
        <v>1523</v>
      </c>
      <c r="I301" s="1">
        <v>35.262</v>
      </c>
      <c r="K301" s="1">
        <v>-16.434999999999999</v>
      </c>
      <c r="M301" t="b">
        <f t="shared" si="34"/>
        <v>1</v>
      </c>
      <c r="N301">
        <f t="shared" si="29"/>
        <v>0</v>
      </c>
      <c r="O301">
        <f t="shared" si="30"/>
        <v>0</v>
      </c>
      <c r="P301">
        <f t="shared" si="35"/>
        <v>4</v>
      </c>
      <c r="R301">
        <f t="shared" si="31"/>
        <v>4</v>
      </c>
      <c r="S301">
        <f t="shared" si="32"/>
        <v>10</v>
      </c>
      <c r="T301">
        <f t="shared" si="33"/>
        <v>0</v>
      </c>
    </row>
    <row r="302" spans="1:20" x14ac:dyDescent="0.2">
      <c r="A302" s="1">
        <v>52</v>
      </c>
      <c r="B302" s="1" t="s">
        <v>62</v>
      </c>
      <c r="C302" s="1">
        <v>3.9969999999999999</v>
      </c>
      <c r="D302" s="1">
        <v>0</v>
      </c>
      <c r="G302" s="1">
        <v>4212</v>
      </c>
      <c r="H302" s="1">
        <v>4845</v>
      </c>
      <c r="I302" s="1">
        <v>76.617999999999995</v>
      </c>
      <c r="K302" s="1">
        <v>0.28299999999999997</v>
      </c>
      <c r="M302" t="b">
        <f t="shared" si="34"/>
        <v>0</v>
      </c>
      <c r="N302">
        <f t="shared" si="29"/>
        <v>0</v>
      </c>
      <c r="O302">
        <f t="shared" si="30"/>
        <v>0</v>
      </c>
      <c r="P302">
        <f t="shared" si="35"/>
        <v>5</v>
      </c>
      <c r="R302">
        <f t="shared" si="31"/>
        <v>5</v>
      </c>
      <c r="S302">
        <f t="shared" si="32"/>
        <v>10</v>
      </c>
      <c r="T302">
        <f t="shared" si="33"/>
        <v>0</v>
      </c>
    </row>
    <row r="303" spans="1:20" x14ac:dyDescent="0.2">
      <c r="A303" s="1">
        <v>52</v>
      </c>
      <c r="B303" s="1" t="s">
        <v>62</v>
      </c>
      <c r="C303" s="1">
        <v>3.9969999999999999</v>
      </c>
      <c r="D303" s="1">
        <v>1</v>
      </c>
      <c r="G303" s="1">
        <v>4208</v>
      </c>
      <c r="H303" s="1">
        <v>4840</v>
      </c>
      <c r="I303" s="1">
        <v>76.855999999999995</v>
      </c>
      <c r="K303" s="1">
        <v>0</v>
      </c>
      <c r="M303" t="b">
        <f t="shared" si="34"/>
        <v>0</v>
      </c>
      <c r="N303">
        <f t="shared" si="29"/>
        <v>0</v>
      </c>
      <c r="O303">
        <f t="shared" si="30"/>
        <v>1</v>
      </c>
      <c r="P303">
        <f t="shared" si="35"/>
        <v>6</v>
      </c>
      <c r="R303">
        <f t="shared" si="31"/>
        <v>6</v>
      </c>
      <c r="S303">
        <f t="shared" si="32"/>
        <v>10</v>
      </c>
      <c r="T303">
        <f t="shared" si="33"/>
        <v>0</v>
      </c>
    </row>
    <row r="304" spans="1:20" x14ac:dyDescent="0.2">
      <c r="A304" s="1">
        <v>53</v>
      </c>
      <c r="B304" s="1" t="s">
        <v>63</v>
      </c>
      <c r="C304" s="1">
        <v>29.856999999999999</v>
      </c>
      <c r="D304" s="1">
        <v>0</v>
      </c>
      <c r="E304" s="1">
        <v>5229</v>
      </c>
      <c r="F304" s="1">
        <v>3660</v>
      </c>
      <c r="I304" s="1">
        <v>94.581999999999994</v>
      </c>
      <c r="J304" s="1">
        <v>7.6999999999999999E-2</v>
      </c>
      <c r="M304" t="b">
        <f t="shared" si="34"/>
        <v>0</v>
      </c>
      <c r="N304">
        <f t="shared" si="29"/>
        <v>1</v>
      </c>
      <c r="O304">
        <f t="shared" si="30"/>
        <v>0</v>
      </c>
      <c r="P304">
        <f t="shared" si="35"/>
        <v>1</v>
      </c>
      <c r="R304">
        <f t="shared" si="31"/>
        <v>1</v>
      </c>
      <c r="S304">
        <f t="shared" si="32"/>
        <v>10</v>
      </c>
      <c r="T304">
        <f t="shared" si="33"/>
        <v>0</v>
      </c>
    </row>
    <row r="305" spans="1:20" x14ac:dyDescent="0.2">
      <c r="A305" s="1">
        <v>53</v>
      </c>
      <c r="B305" s="1" t="s">
        <v>63</v>
      </c>
      <c r="C305" s="1">
        <v>29.856999999999999</v>
      </c>
      <c r="D305" s="1">
        <v>1</v>
      </c>
      <c r="E305" s="1">
        <v>5226</v>
      </c>
      <c r="F305" s="1">
        <v>3657</v>
      </c>
      <c r="I305" s="1">
        <v>94.497</v>
      </c>
      <c r="J305" s="1">
        <v>0</v>
      </c>
      <c r="M305" t="b">
        <f t="shared" si="34"/>
        <v>0</v>
      </c>
      <c r="N305">
        <f t="shared" si="29"/>
        <v>1</v>
      </c>
      <c r="O305">
        <f t="shared" si="30"/>
        <v>1</v>
      </c>
      <c r="P305">
        <f t="shared" si="35"/>
        <v>2</v>
      </c>
      <c r="R305">
        <f t="shared" si="31"/>
        <v>2</v>
      </c>
      <c r="S305">
        <f t="shared" si="32"/>
        <v>10</v>
      </c>
      <c r="T305">
        <f t="shared" si="33"/>
        <v>0</v>
      </c>
    </row>
    <row r="306" spans="1:20" x14ac:dyDescent="0.2">
      <c r="A306" s="1">
        <v>53</v>
      </c>
      <c r="B306" s="1" t="s">
        <v>63</v>
      </c>
      <c r="C306" s="1">
        <v>29.856999999999999</v>
      </c>
      <c r="D306" s="1">
        <v>0</v>
      </c>
      <c r="E306" s="1">
        <v>498</v>
      </c>
      <c r="F306" s="1">
        <v>351</v>
      </c>
      <c r="I306" s="1">
        <v>13.077999999999999</v>
      </c>
      <c r="J306" s="1">
        <v>7.2720000000000002</v>
      </c>
      <c r="M306" t="b">
        <f t="shared" si="34"/>
        <v>1</v>
      </c>
      <c r="N306">
        <f t="shared" si="29"/>
        <v>1</v>
      </c>
      <c r="O306">
        <f t="shared" si="30"/>
        <v>0</v>
      </c>
      <c r="P306">
        <f t="shared" si="35"/>
        <v>3</v>
      </c>
      <c r="R306">
        <f t="shared" si="31"/>
        <v>3</v>
      </c>
      <c r="S306">
        <f t="shared" si="32"/>
        <v>10</v>
      </c>
      <c r="T306">
        <f t="shared" si="33"/>
        <v>0</v>
      </c>
    </row>
    <row r="307" spans="1:20" x14ac:dyDescent="0.2">
      <c r="A307" s="1">
        <v>53</v>
      </c>
      <c r="B307" s="1" t="s">
        <v>63</v>
      </c>
      <c r="C307" s="1">
        <v>29.856999999999999</v>
      </c>
      <c r="D307" s="1">
        <v>0</v>
      </c>
      <c r="G307" s="1">
        <v>526</v>
      </c>
      <c r="H307" s="1">
        <v>599</v>
      </c>
      <c r="I307" s="1">
        <v>13.7</v>
      </c>
      <c r="K307" s="1">
        <v>-13.489000000000001</v>
      </c>
      <c r="M307" t="b">
        <f t="shared" si="34"/>
        <v>1</v>
      </c>
      <c r="N307">
        <f t="shared" si="29"/>
        <v>0</v>
      </c>
      <c r="O307">
        <f t="shared" si="30"/>
        <v>0</v>
      </c>
      <c r="P307">
        <f t="shared" si="35"/>
        <v>4</v>
      </c>
      <c r="R307">
        <f t="shared" si="31"/>
        <v>4</v>
      </c>
      <c r="S307">
        <f t="shared" si="32"/>
        <v>10</v>
      </c>
      <c r="T307">
        <f t="shared" si="33"/>
        <v>0</v>
      </c>
    </row>
    <row r="308" spans="1:20" x14ac:dyDescent="0.2">
      <c r="A308" s="1">
        <v>53</v>
      </c>
      <c r="B308" s="1" t="s">
        <v>63</v>
      </c>
      <c r="C308" s="1">
        <v>29.856999999999999</v>
      </c>
      <c r="D308" s="1">
        <v>0</v>
      </c>
      <c r="G308" s="1">
        <v>4210</v>
      </c>
      <c r="H308" s="1">
        <v>4843</v>
      </c>
      <c r="I308" s="1">
        <v>76.572000000000003</v>
      </c>
      <c r="K308" s="1">
        <v>0.308</v>
      </c>
      <c r="M308" t="b">
        <f t="shared" si="34"/>
        <v>0</v>
      </c>
      <c r="N308">
        <f t="shared" si="29"/>
        <v>0</v>
      </c>
      <c r="O308">
        <f t="shared" si="30"/>
        <v>0</v>
      </c>
      <c r="P308">
        <f t="shared" si="35"/>
        <v>5</v>
      </c>
      <c r="R308">
        <f t="shared" si="31"/>
        <v>5</v>
      </c>
      <c r="S308">
        <f t="shared" si="32"/>
        <v>10</v>
      </c>
      <c r="T308">
        <f t="shared" si="33"/>
        <v>0</v>
      </c>
    </row>
    <row r="309" spans="1:20" x14ac:dyDescent="0.2">
      <c r="A309" s="1">
        <v>53</v>
      </c>
      <c r="B309" s="1" t="s">
        <v>63</v>
      </c>
      <c r="C309" s="1">
        <v>29.856999999999999</v>
      </c>
      <c r="D309" s="1">
        <v>1</v>
      </c>
      <c r="G309" s="1">
        <v>4208</v>
      </c>
      <c r="H309" s="1">
        <v>4840</v>
      </c>
      <c r="I309" s="1">
        <v>76.846999999999994</v>
      </c>
      <c r="K309" s="1">
        <v>0</v>
      </c>
      <c r="M309" t="b">
        <f t="shared" si="34"/>
        <v>0</v>
      </c>
      <c r="N309">
        <f t="shared" si="29"/>
        <v>0</v>
      </c>
      <c r="O309">
        <f t="shared" si="30"/>
        <v>1</v>
      </c>
      <c r="P309">
        <f t="shared" si="35"/>
        <v>6</v>
      </c>
      <c r="R309">
        <f t="shared" si="31"/>
        <v>6</v>
      </c>
      <c r="S309">
        <f t="shared" si="32"/>
        <v>10</v>
      </c>
      <c r="T309">
        <f t="shared" si="33"/>
        <v>0</v>
      </c>
    </row>
    <row r="310" spans="1:20" x14ac:dyDescent="0.2">
      <c r="A310" s="1">
        <v>54</v>
      </c>
      <c r="B310" s="1" t="s">
        <v>64</v>
      </c>
      <c r="C310" s="1">
        <v>29.99</v>
      </c>
      <c r="D310" s="1">
        <v>0</v>
      </c>
      <c r="E310" s="1">
        <v>5228</v>
      </c>
      <c r="F310" s="1">
        <v>3659</v>
      </c>
      <c r="I310" s="1">
        <v>94.57</v>
      </c>
      <c r="J310" s="1">
        <v>8.4000000000000005E-2</v>
      </c>
      <c r="M310" t="b">
        <f t="shared" si="34"/>
        <v>0</v>
      </c>
      <c r="N310">
        <f t="shared" si="29"/>
        <v>1</v>
      </c>
      <c r="O310">
        <f t="shared" si="30"/>
        <v>0</v>
      </c>
      <c r="P310">
        <f t="shared" si="35"/>
        <v>1</v>
      </c>
      <c r="R310">
        <f t="shared" si="31"/>
        <v>1</v>
      </c>
      <c r="S310">
        <f t="shared" si="32"/>
        <v>10</v>
      </c>
      <c r="T310">
        <f t="shared" si="33"/>
        <v>0</v>
      </c>
    </row>
    <row r="311" spans="1:20" x14ac:dyDescent="0.2">
      <c r="A311" s="1">
        <v>54</v>
      </c>
      <c r="B311" s="1" t="s">
        <v>64</v>
      </c>
      <c r="C311" s="1">
        <v>29.99</v>
      </c>
      <c r="D311" s="1">
        <v>1</v>
      </c>
      <c r="E311" s="1">
        <v>5224</v>
      </c>
      <c r="F311" s="1">
        <v>3656</v>
      </c>
      <c r="I311" s="1">
        <v>94.534000000000006</v>
      </c>
      <c r="J311" s="1">
        <v>0</v>
      </c>
      <c r="M311" t="b">
        <f t="shared" si="34"/>
        <v>0</v>
      </c>
      <c r="N311">
        <f t="shared" si="29"/>
        <v>1</v>
      </c>
      <c r="O311">
        <f t="shared" si="30"/>
        <v>1</v>
      </c>
      <c r="P311">
        <f t="shared" si="35"/>
        <v>2</v>
      </c>
      <c r="R311">
        <f t="shared" si="31"/>
        <v>2</v>
      </c>
      <c r="S311">
        <f t="shared" si="32"/>
        <v>10</v>
      </c>
      <c r="T311">
        <f t="shared" si="33"/>
        <v>0</v>
      </c>
    </row>
    <row r="312" spans="1:20" x14ac:dyDescent="0.2">
      <c r="A312" s="1">
        <v>54</v>
      </c>
      <c r="B312" s="1" t="s">
        <v>64</v>
      </c>
      <c r="C312" s="1">
        <v>29.99</v>
      </c>
      <c r="D312" s="1">
        <v>0</v>
      </c>
      <c r="E312" s="1">
        <v>556</v>
      </c>
      <c r="F312" s="1">
        <v>392</v>
      </c>
      <c r="I312" s="1">
        <v>14.515000000000001</v>
      </c>
      <c r="J312" s="1">
        <v>7.4349999999999996</v>
      </c>
      <c r="M312" t="b">
        <f t="shared" si="34"/>
        <v>1</v>
      </c>
      <c r="N312">
        <f t="shared" si="29"/>
        <v>1</v>
      </c>
      <c r="O312">
        <f t="shared" si="30"/>
        <v>0</v>
      </c>
      <c r="P312">
        <f t="shared" si="35"/>
        <v>3</v>
      </c>
      <c r="R312">
        <f t="shared" si="31"/>
        <v>3</v>
      </c>
      <c r="S312">
        <f t="shared" si="32"/>
        <v>10</v>
      </c>
      <c r="T312">
        <f t="shared" si="33"/>
        <v>0</v>
      </c>
    </row>
    <row r="313" spans="1:20" x14ac:dyDescent="0.2">
      <c r="A313" s="1">
        <v>54</v>
      </c>
      <c r="B313" s="1" t="s">
        <v>64</v>
      </c>
      <c r="C313" s="1">
        <v>29.99</v>
      </c>
      <c r="D313" s="1">
        <v>0</v>
      </c>
      <c r="G313" s="1">
        <v>473</v>
      </c>
      <c r="H313" s="1">
        <v>538</v>
      </c>
      <c r="I313" s="1">
        <v>12.246</v>
      </c>
      <c r="K313" s="1">
        <v>-13.048</v>
      </c>
      <c r="M313" t="b">
        <f t="shared" si="34"/>
        <v>1</v>
      </c>
      <c r="N313">
        <f t="shared" si="29"/>
        <v>0</v>
      </c>
      <c r="O313">
        <f t="shared" si="30"/>
        <v>0</v>
      </c>
      <c r="P313">
        <f t="shared" si="35"/>
        <v>4</v>
      </c>
      <c r="R313">
        <f t="shared" si="31"/>
        <v>4</v>
      </c>
      <c r="S313">
        <f t="shared" si="32"/>
        <v>10</v>
      </c>
      <c r="T313">
        <f t="shared" si="33"/>
        <v>0</v>
      </c>
    </row>
    <row r="314" spans="1:20" x14ac:dyDescent="0.2">
      <c r="A314" s="1">
        <v>54</v>
      </c>
      <c r="B314" s="1" t="s">
        <v>64</v>
      </c>
      <c r="C314" s="1">
        <v>29.99</v>
      </c>
      <c r="D314" s="1">
        <v>0</v>
      </c>
      <c r="G314" s="1">
        <v>4207</v>
      </c>
      <c r="H314" s="1">
        <v>4840</v>
      </c>
      <c r="I314" s="1">
        <v>76.521000000000001</v>
      </c>
      <c r="K314" s="1">
        <v>0.28899999999999998</v>
      </c>
      <c r="M314" t="b">
        <f t="shared" si="34"/>
        <v>0</v>
      </c>
      <c r="N314">
        <f t="shared" si="29"/>
        <v>0</v>
      </c>
      <c r="O314">
        <f t="shared" si="30"/>
        <v>0</v>
      </c>
      <c r="P314">
        <f t="shared" si="35"/>
        <v>5</v>
      </c>
      <c r="R314">
        <f t="shared" si="31"/>
        <v>5</v>
      </c>
      <c r="S314">
        <f t="shared" si="32"/>
        <v>10</v>
      </c>
      <c r="T314">
        <f t="shared" si="33"/>
        <v>0</v>
      </c>
    </row>
    <row r="315" spans="1:20" x14ac:dyDescent="0.2">
      <c r="A315" s="1">
        <v>54</v>
      </c>
      <c r="B315" s="1" t="s">
        <v>64</v>
      </c>
      <c r="C315" s="1">
        <v>29.99</v>
      </c>
      <c r="D315" s="1">
        <v>1</v>
      </c>
      <c r="G315" s="1">
        <v>4203</v>
      </c>
      <c r="H315" s="1">
        <v>4834</v>
      </c>
      <c r="I315" s="1">
        <v>76.796000000000006</v>
      </c>
      <c r="K315" s="1">
        <v>0</v>
      </c>
      <c r="M315" t="b">
        <f t="shared" si="34"/>
        <v>0</v>
      </c>
      <c r="N315">
        <f t="shared" si="29"/>
        <v>0</v>
      </c>
      <c r="O315">
        <f t="shared" si="30"/>
        <v>1</v>
      </c>
      <c r="P315">
        <f t="shared" si="35"/>
        <v>6</v>
      </c>
      <c r="R315">
        <f t="shared" si="31"/>
        <v>6</v>
      </c>
      <c r="S315">
        <f t="shared" si="32"/>
        <v>10</v>
      </c>
      <c r="T315">
        <f t="shared" si="33"/>
        <v>0</v>
      </c>
    </row>
    <row r="316" spans="1:20" x14ac:dyDescent="0.2">
      <c r="A316" s="1">
        <v>55</v>
      </c>
      <c r="B316" s="1" t="s">
        <v>65</v>
      </c>
      <c r="C316" s="1">
        <v>3.9969999999999999</v>
      </c>
      <c r="D316" s="1">
        <v>0</v>
      </c>
      <c r="E316" s="1">
        <v>5222</v>
      </c>
      <c r="F316" s="1">
        <v>3655</v>
      </c>
      <c r="I316" s="1">
        <v>94.478999999999999</v>
      </c>
      <c r="J316" s="1">
        <v>6.8000000000000005E-2</v>
      </c>
      <c r="M316" t="b">
        <f t="shared" si="34"/>
        <v>0</v>
      </c>
      <c r="N316">
        <f t="shared" si="29"/>
        <v>1</v>
      </c>
      <c r="O316">
        <f t="shared" si="30"/>
        <v>0</v>
      </c>
      <c r="P316">
        <f t="shared" si="35"/>
        <v>1</v>
      </c>
      <c r="R316">
        <f t="shared" si="31"/>
        <v>1</v>
      </c>
      <c r="S316">
        <f t="shared" si="32"/>
        <v>10</v>
      </c>
      <c r="T316">
        <f t="shared" si="33"/>
        <v>0</v>
      </c>
    </row>
    <row r="317" spans="1:20" x14ac:dyDescent="0.2">
      <c r="A317" s="1">
        <v>55</v>
      </c>
      <c r="B317" s="1" t="s">
        <v>65</v>
      </c>
      <c r="C317" s="1">
        <v>3.9969999999999999</v>
      </c>
      <c r="D317" s="1">
        <v>1</v>
      </c>
      <c r="E317" s="1">
        <v>5218</v>
      </c>
      <c r="F317" s="1">
        <v>3652</v>
      </c>
      <c r="I317" s="1">
        <v>94.406999999999996</v>
      </c>
      <c r="J317" s="1">
        <v>0</v>
      </c>
      <c r="M317" t="b">
        <f t="shared" si="34"/>
        <v>0</v>
      </c>
      <c r="N317">
        <f t="shared" si="29"/>
        <v>1</v>
      </c>
      <c r="O317">
        <f t="shared" si="30"/>
        <v>1</v>
      </c>
      <c r="P317">
        <f t="shared" si="35"/>
        <v>2</v>
      </c>
      <c r="R317">
        <f t="shared" si="31"/>
        <v>2</v>
      </c>
      <c r="S317">
        <f t="shared" si="32"/>
        <v>10</v>
      </c>
      <c r="T317">
        <f t="shared" si="33"/>
        <v>0</v>
      </c>
    </row>
    <row r="318" spans="1:20" x14ac:dyDescent="0.2">
      <c r="A318" s="1">
        <v>55</v>
      </c>
      <c r="B318" s="1" t="s">
        <v>65</v>
      </c>
      <c r="C318" s="1">
        <v>3.9969999999999999</v>
      </c>
      <c r="D318" s="1">
        <v>0</v>
      </c>
      <c r="E318" s="1">
        <v>1504</v>
      </c>
      <c r="F318" s="1">
        <v>1058</v>
      </c>
      <c r="I318" s="1">
        <v>35.652000000000001</v>
      </c>
      <c r="J318" s="1">
        <v>4.3529999999999998</v>
      </c>
      <c r="M318" t="b">
        <f t="shared" si="34"/>
        <v>1</v>
      </c>
      <c r="N318">
        <f t="shared" si="29"/>
        <v>1</v>
      </c>
      <c r="O318">
        <f t="shared" si="30"/>
        <v>0</v>
      </c>
      <c r="P318">
        <f t="shared" si="35"/>
        <v>3</v>
      </c>
      <c r="R318">
        <f t="shared" si="31"/>
        <v>3</v>
      </c>
      <c r="S318">
        <f t="shared" si="32"/>
        <v>10</v>
      </c>
      <c r="T318">
        <f t="shared" si="33"/>
        <v>0</v>
      </c>
    </row>
    <row r="319" spans="1:20" x14ac:dyDescent="0.2">
      <c r="A319" s="1">
        <v>55</v>
      </c>
      <c r="B319" s="1" t="s">
        <v>65</v>
      </c>
      <c r="C319" s="1">
        <v>3.9969999999999999</v>
      </c>
      <c r="D319" s="1">
        <v>0</v>
      </c>
      <c r="G319" s="1">
        <v>3410</v>
      </c>
      <c r="H319" s="1">
        <v>3887</v>
      </c>
      <c r="I319" s="1">
        <v>99.245999999999995</v>
      </c>
      <c r="K319" s="1">
        <v>-17.03</v>
      </c>
      <c r="M319" t="b">
        <f t="shared" si="34"/>
        <v>1</v>
      </c>
      <c r="N319">
        <f t="shared" si="29"/>
        <v>0</v>
      </c>
      <c r="O319">
        <f t="shared" si="30"/>
        <v>0</v>
      </c>
      <c r="P319">
        <f t="shared" si="35"/>
        <v>4</v>
      </c>
      <c r="R319">
        <f t="shared" si="31"/>
        <v>4</v>
      </c>
      <c r="S319">
        <f t="shared" si="32"/>
        <v>10</v>
      </c>
      <c r="T319">
        <f t="shared" si="33"/>
        <v>0</v>
      </c>
    </row>
    <row r="320" spans="1:20" x14ac:dyDescent="0.2">
      <c r="A320" s="1">
        <v>55</v>
      </c>
      <c r="B320" s="1" t="s">
        <v>65</v>
      </c>
      <c r="C320" s="1">
        <v>3.9969999999999999</v>
      </c>
      <c r="D320" s="1">
        <v>0</v>
      </c>
      <c r="G320" s="1">
        <v>4204</v>
      </c>
      <c r="H320" s="1">
        <v>4837</v>
      </c>
      <c r="I320" s="1">
        <v>76.506</v>
      </c>
      <c r="K320" s="1">
        <v>0.22700000000000001</v>
      </c>
      <c r="M320" t="b">
        <f t="shared" si="34"/>
        <v>0</v>
      </c>
      <c r="N320">
        <f t="shared" si="29"/>
        <v>0</v>
      </c>
      <c r="O320">
        <f t="shared" si="30"/>
        <v>0</v>
      </c>
      <c r="P320">
        <f t="shared" si="35"/>
        <v>5</v>
      </c>
      <c r="R320">
        <f t="shared" si="31"/>
        <v>5</v>
      </c>
      <c r="S320">
        <f t="shared" si="32"/>
        <v>10</v>
      </c>
      <c r="T320">
        <f t="shared" si="33"/>
        <v>0</v>
      </c>
    </row>
    <row r="321" spans="1:20" x14ac:dyDescent="0.2">
      <c r="A321" s="1">
        <v>55</v>
      </c>
      <c r="B321" s="1" t="s">
        <v>65</v>
      </c>
      <c r="C321" s="1">
        <v>3.9969999999999999</v>
      </c>
      <c r="D321" s="1">
        <v>1</v>
      </c>
      <c r="G321" s="1">
        <v>4201</v>
      </c>
      <c r="H321" s="1">
        <v>4832</v>
      </c>
      <c r="I321" s="1">
        <v>76.686000000000007</v>
      </c>
      <c r="K321" s="1">
        <v>0</v>
      </c>
      <c r="M321" t="b">
        <f t="shared" si="34"/>
        <v>0</v>
      </c>
      <c r="N321">
        <f t="shared" si="29"/>
        <v>0</v>
      </c>
      <c r="O321">
        <f t="shared" si="30"/>
        <v>1</v>
      </c>
      <c r="P321">
        <f t="shared" si="35"/>
        <v>6</v>
      </c>
      <c r="R321">
        <f t="shared" si="31"/>
        <v>6</v>
      </c>
      <c r="S321">
        <f t="shared" si="32"/>
        <v>10</v>
      </c>
      <c r="T321">
        <f t="shared" si="33"/>
        <v>0</v>
      </c>
    </row>
    <row r="322" spans="1:20" x14ac:dyDescent="0.2">
      <c r="A322" s="1">
        <v>56</v>
      </c>
      <c r="B322" s="1" t="s">
        <v>66</v>
      </c>
      <c r="C322" s="1">
        <v>4.0030000000000001</v>
      </c>
      <c r="D322" s="1">
        <v>0</v>
      </c>
      <c r="E322" s="1">
        <v>5219</v>
      </c>
      <c r="F322" s="1">
        <v>3653</v>
      </c>
      <c r="I322" s="1">
        <v>94.614999999999995</v>
      </c>
      <c r="J322" s="1">
        <v>4.0000000000000001E-3</v>
      </c>
      <c r="M322" t="b">
        <f t="shared" si="34"/>
        <v>0</v>
      </c>
      <c r="N322">
        <f t="shared" si="29"/>
        <v>1</v>
      </c>
      <c r="O322">
        <f t="shared" si="30"/>
        <v>0</v>
      </c>
      <c r="P322">
        <f t="shared" si="35"/>
        <v>1</v>
      </c>
      <c r="R322">
        <f t="shared" si="31"/>
        <v>1</v>
      </c>
      <c r="S322">
        <f t="shared" si="32"/>
        <v>10</v>
      </c>
      <c r="T322">
        <f t="shared" si="33"/>
        <v>0</v>
      </c>
    </row>
    <row r="323" spans="1:20" x14ac:dyDescent="0.2">
      <c r="A323" s="1">
        <v>56</v>
      </c>
      <c r="B323" s="1" t="s">
        <v>66</v>
      </c>
      <c r="C323" s="1">
        <v>4.0030000000000001</v>
      </c>
      <c r="D323" s="1">
        <v>1</v>
      </c>
      <c r="E323" s="1">
        <v>5217</v>
      </c>
      <c r="F323" s="1">
        <v>3652</v>
      </c>
      <c r="I323" s="1">
        <v>94.483999999999995</v>
      </c>
      <c r="J323" s="1">
        <v>0</v>
      </c>
      <c r="M323" t="b">
        <f t="shared" si="34"/>
        <v>0</v>
      </c>
      <c r="N323">
        <f t="shared" ref="N323:N386" si="36">IF(A323&gt;0,IF(E323&gt;0,1,0),0)</f>
        <v>1</v>
      </c>
      <c r="O323">
        <f t="shared" ref="O323:O386" si="37">D323</f>
        <v>1</v>
      </c>
      <c r="P323">
        <f t="shared" si="35"/>
        <v>2</v>
      </c>
      <c r="R323">
        <f t="shared" ref="R323:R386" si="38">IF(A323&gt;0,IF(A323=A322,R322+1,1),0)</f>
        <v>2</v>
      </c>
      <c r="S323">
        <f t="shared" si="32"/>
        <v>10</v>
      </c>
      <c r="T323">
        <f t="shared" si="33"/>
        <v>0</v>
      </c>
    </row>
    <row r="324" spans="1:20" x14ac:dyDescent="0.2">
      <c r="A324" s="1">
        <v>56</v>
      </c>
      <c r="B324" s="1" t="s">
        <v>66</v>
      </c>
      <c r="C324" s="1">
        <v>4.0030000000000001</v>
      </c>
      <c r="D324" s="1">
        <v>0</v>
      </c>
      <c r="E324" s="1">
        <v>85</v>
      </c>
      <c r="F324" s="1">
        <v>60</v>
      </c>
      <c r="I324" s="1">
        <v>2.2130000000000001</v>
      </c>
      <c r="J324" s="1">
        <v>5.5209999999999999</v>
      </c>
      <c r="M324" t="b">
        <f t="shared" si="34"/>
        <v>1</v>
      </c>
      <c r="N324">
        <f t="shared" si="36"/>
        <v>1</v>
      </c>
      <c r="O324">
        <f t="shared" si="37"/>
        <v>0</v>
      </c>
      <c r="P324">
        <f t="shared" si="35"/>
        <v>3</v>
      </c>
      <c r="R324">
        <f t="shared" si="38"/>
        <v>3</v>
      </c>
      <c r="S324">
        <f t="shared" ref="S324:S387" si="39">IF(A324&gt;0,IF(OR(R324=P324,P324-R324=P323-R323),S323,S323+P324-R324),0)</f>
        <v>10</v>
      </c>
      <c r="T324">
        <f t="shared" ref="T324:T387" si="40">IF(A324&gt;0,IF(AND(P324=6,P323=3,R324=4),T323+1,T323),0)</f>
        <v>0</v>
      </c>
    </row>
    <row r="325" spans="1:20" x14ac:dyDescent="0.2">
      <c r="A325" s="1">
        <v>56</v>
      </c>
      <c r="B325" s="1" t="s">
        <v>66</v>
      </c>
      <c r="C325" s="1">
        <v>4.0030000000000001</v>
      </c>
      <c r="D325" s="1">
        <v>0</v>
      </c>
      <c r="G325" s="1">
        <v>98</v>
      </c>
      <c r="H325" s="1">
        <v>112</v>
      </c>
      <c r="I325" s="1">
        <v>2.504</v>
      </c>
      <c r="K325" s="1">
        <v>-13.769</v>
      </c>
      <c r="M325" t="b">
        <f t="shared" ref="M325:M388" si="41">IF(A325&gt;0,OR(AND(O325=0,O324=1,N324=1,N325=1),AND(O325=0,O327=1,N327=0)),0)</f>
        <v>1</v>
      </c>
      <c r="N325">
        <f t="shared" si="36"/>
        <v>0</v>
      </c>
      <c r="O325">
        <f t="shared" si="37"/>
        <v>0</v>
      </c>
      <c r="P325">
        <f t="shared" si="35"/>
        <v>4</v>
      </c>
      <c r="R325">
        <f t="shared" si="38"/>
        <v>4</v>
      </c>
      <c r="S325">
        <f t="shared" si="39"/>
        <v>10</v>
      </c>
      <c r="T325">
        <f t="shared" si="40"/>
        <v>0</v>
      </c>
    </row>
    <row r="326" spans="1:20" x14ac:dyDescent="0.2">
      <c r="A326" s="1">
        <v>56</v>
      </c>
      <c r="B326" s="1" t="s">
        <v>66</v>
      </c>
      <c r="C326" s="1">
        <v>4.0030000000000001</v>
      </c>
      <c r="D326" s="1">
        <v>0</v>
      </c>
      <c r="G326" s="1">
        <v>4203</v>
      </c>
      <c r="H326" s="1">
        <v>4836</v>
      </c>
      <c r="I326" s="1">
        <v>76.409000000000006</v>
      </c>
      <c r="K326" s="1">
        <v>0.29799999999999999</v>
      </c>
      <c r="M326" t="b">
        <f t="shared" si="41"/>
        <v>0</v>
      </c>
      <c r="N326">
        <f t="shared" si="36"/>
        <v>0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5</v>
      </c>
      <c r="R326">
        <f t="shared" si="38"/>
        <v>5</v>
      </c>
      <c r="S326">
        <f t="shared" si="39"/>
        <v>10</v>
      </c>
      <c r="T326">
        <f t="shared" si="40"/>
        <v>0</v>
      </c>
    </row>
    <row r="327" spans="1:20" x14ac:dyDescent="0.2">
      <c r="A327" s="1">
        <v>56</v>
      </c>
      <c r="B327" s="1" t="s">
        <v>66</v>
      </c>
      <c r="C327" s="1">
        <v>4.0030000000000001</v>
      </c>
      <c r="D327" s="1">
        <v>1</v>
      </c>
      <c r="G327" s="1">
        <v>4198</v>
      </c>
      <c r="H327" s="1">
        <v>4829</v>
      </c>
      <c r="I327" s="1">
        <v>76.668999999999997</v>
      </c>
      <c r="K327" s="1">
        <v>0</v>
      </c>
      <c r="M327" t="b">
        <f t="shared" si="41"/>
        <v>0</v>
      </c>
      <c r="N327">
        <f t="shared" si="36"/>
        <v>0</v>
      </c>
      <c r="O327">
        <f t="shared" si="37"/>
        <v>1</v>
      </c>
      <c r="P327">
        <f t="shared" si="42"/>
        <v>6</v>
      </c>
      <c r="R327">
        <f t="shared" si="38"/>
        <v>6</v>
      </c>
      <c r="S327">
        <f t="shared" si="39"/>
        <v>10</v>
      </c>
      <c r="T327">
        <f t="shared" si="40"/>
        <v>0</v>
      </c>
    </row>
    <row r="328" spans="1:20" x14ac:dyDescent="0.2">
      <c r="A328" s="1">
        <v>57</v>
      </c>
      <c r="B328" s="1" t="s">
        <v>67</v>
      </c>
      <c r="C328" s="1">
        <v>29.7</v>
      </c>
      <c r="D328" s="1">
        <v>0</v>
      </c>
      <c r="E328" s="1">
        <v>5218</v>
      </c>
      <c r="F328" s="1">
        <v>3653</v>
      </c>
      <c r="I328" s="1">
        <v>94.433000000000007</v>
      </c>
      <c r="J328" s="1">
        <v>9.7000000000000003E-2</v>
      </c>
      <c r="M328" t="b">
        <f t="shared" si="41"/>
        <v>0</v>
      </c>
      <c r="N328">
        <f t="shared" si="36"/>
        <v>1</v>
      </c>
      <c r="O328">
        <f t="shared" si="37"/>
        <v>0</v>
      </c>
      <c r="P328">
        <f t="shared" si="42"/>
        <v>1</v>
      </c>
      <c r="R328">
        <f t="shared" si="38"/>
        <v>1</v>
      </c>
      <c r="S328">
        <f t="shared" si="39"/>
        <v>10</v>
      </c>
      <c r="T328">
        <f t="shared" si="40"/>
        <v>0</v>
      </c>
    </row>
    <row r="329" spans="1:20" x14ac:dyDescent="0.2">
      <c r="A329" s="1">
        <v>57</v>
      </c>
      <c r="B329" s="1" t="s">
        <v>67</v>
      </c>
      <c r="C329" s="1">
        <v>29.7</v>
      </c>
      <c r="D329" s="1">
        <v>1</v>
      </c>
      <c r="E329" s="1">
        <v>5216</v>
      </c>
      <c r="F329" s="1">
        <v>3651</v>
      </c>
      <c r="I329" s="1">
        <v>94.373999999999995</v>
      </c>
      <c r="J329" s="1">
        <v>0</v>
      </c>
      <c r="M329" t="b">
        <f t="shared" si="41"/>
        <v>0</v>
      </c>
      <c r="N329">
        <f t="shared" si="36"/>
        <v>1</v>
      </c>
      <c r="O329">
        <f t="shared" si="37"/>
        <v>1</v>
      </c>
      <c r="P329">
        <f t="shared" si="42"/>
        <v>2</v>
      </c>
      <c r="R329">
        <f t="shared" si="38"/>
        <v>2</v>
      </c>
      <c r="S329">
        <f t="shared" si="39"/>
        <v>10</v>
      </c>
      <c r="T329">
        <f t="shared" si="40"/>
        <v>0</v>
      </c>
    </row>
    <row r="330" spans="1:20" x14ac:dyDescent="0.2">
      <c r="A330" s="1">
        <v>57</v>
      </c>
      <c r="B330" s="1" t="s">
        <v>67</v>
      </c>
      <c r="C330" s="1">
        <v>29.7</v>
      </c>
      <c r="D330" s="1">
        <v>0</v>
      </c>
      <c r="E330" s="1">
        <v>641</v>
      </c>
      <c r="F330" s="1">
        <v>452</v>
      </c>
      <c r="I330" s="1">
        <v>16.672000000000001</v>
      </c>
      <c r="J330" s="1">
        <v>7.0620000000000003</v>
      </c>
      <c r="M330" t="b">
        <f t="shared" si="41"/>
        <v>1</v>
      </c>
      <c r="N330">
        <f t="shared" si="36"/>
        <v>1</v>
      </c>
      <c r="O330">
        <f t="shared" si="37"/>
        <v>0</v>
      </c>
      <c r="P330">
        <f t="shared" si="42"/>
        <v>3</v>
      </c>
      <c r="R330">
        <f t="shared" si="38"/>
        <v>3</v>
      </c>
      <c r="S330">
        <f t="shared" si="39"/>
        <v>10</v>
      </c>
      <c r="T330">
        <f t="shared" si="40"/>
        <v>0</v>
      </c>
    </row>
    <row r="331" spans="1:20" x14ac:dyDescent="0.2">
      <c r="A331" s="1">
        <v>57</v>
      </c>
      <c r="B331" s="1" t="s">
        <v>67</v>
      </c>
      <c r="C331" s="1">
        <v>29.7</v>
      </c>
      <c r="D331" s="1">
        <v>0</v>
      </c>
      <c r="G331" s="1">
        <v>490</v>
      </c>
      <c r="H331" s="1">
        <v>558</v>
      </c>
      <c r="I331" s="1">
        <v>12.691000000000001</v>
      </c>
      <c r="K331" s="1">
        <v>-12.614000000000001</v>
      </c>
      <c r="M331" t="b">
        <f t="shared" si="41"/>
        <v>1</v>
      </c>
      <c r="N331">
        <f t="shared" si="36"/>
        <v>0</v>
      </c>
      <c r="O331">
        <f t="shared" si="37"/>
        <v>0</v>
      </c>
      <c r="P331">
        <f t="shared" si="42"/>
        <v>4</v>
      </c>
      <c r="R331">
        <f t="shared" si="38"/>
        <v>4</v>
      </c>
      <c r="S331">
        <f t="shared" si="39"/>
        <v>10</v>
      </c>
      <c r="T331">
        <f t="shared" si="40"/>
        <v>0</v>
      </c>
    </row>
    <row r="332" spans="1:20" x14ac:dyDescent="0.2">
      <c r="A332" s="1">
        <v>57</v>
      </c>
      <c r="B332" s="1" t="s">
        <v>67</v>
      </c>
      <c r="C332" s="1">
        <v>29.7</v>
      </c>
      <c r="D332" s="1">
        <v>0</v>
      </c>
      <c r="G332" s="1">
        <v>4203</v>
      </c>
      <c r="H332" s="1">
        <v>4836</v>
      </c>
      <c r="I332" s="1">
        <v>76.415000000000006</v>
      </c>
      <c r="K332" s="1">
        <v>0.27100000000000002</v>
      </c>
      <c r="M332" t="b">
        <f t="shared" si="41"/>
        <v>0</v>
      </c>
      <c r="N332">
        <f t="shared" si="36"/>
        <v>0</v>
      </c>
      <c r="O332">
        <f t="shared" si="37"/>
        <v>0</v>
      </c>
      <c r="P332">
        <f t="shared" si="42"/>
        <v>5</v>
      </c>
      <c r="R332">
        <f t="shared" si="38"/>
        <v>5</v>
      </c>
      <c r="S332">
        <f t="shared" si="39"/>
        <v>10</v>
      </c>
      <c r="T332">
        <f t="shared" si="40"/>
        <v>0</v>
      </c>
    </row>
    <row r="333" spans="1:20" x14ac:dyDescent="0.2">
      <c r="A333" s="1">
        <v>57</v>
      </c>
      <c r="B333" s="1" t="s">
        <v>67</v>
      </c>
      <c r="C333" s="1">
        <v>29.7</v>
      </c>
      <c r="D333" s="1">
        <v>1</v>
      </c>
      <c r="G333" s="1">
        <v>4200</v>
      </c>
      <c r="H333" s="1">
        <v>4831</v>
      </c>
      <c r="I333" s="1">
        <v>76.731999999999999</v>
      </c>
      <c r="K333" s="1">
        <v>0</v>
      </c>
      <c r="M333" t="b">
        <f t="shared" si="41"/>
        <v>0</v>
      </c>
      <c r="N333">
        <f t="shared" si="36"/>
        <v>0</v>
      </c>
      <c r="O333">
        <f t="shared" si="37"/>
        <v>1</v>
      </c>
      <c r="P333">
        <f t="shared" si="42"/>
        <v>6</v>
      </c>
      <c r="R333">
        <f t="shared" si="38"/>
        <v>6</v>
      </c>
      <c r="S333">
        <f t="shared" si="39"/>
        <v>10</v>
      </c>
      <c r="T333">
        <f t="shared" si="40"/>
        <v>0</v>
      </c>
    </row>
    <row r="334" spans="1:20" x14ac:dyDescent="0.2">
      <c r="A334" s="1">
        <v>58</v>
      </c>
      <c r="B334" s="1" t="s">
        <v>68</v>
      </c>
      <c r="C334" s="1">
        <v>29.957000000000001</v>
      </c>
      <c r="D334" s="1">
        <v>0</v>
      </c>
      <c r="E334" s="1">
        <v>5217</v>
      </c>
      <c r="F334" s="1">
        <v>3652</v>
      </c>
      <c r="I334" s="1">
        <v>94.251000000000005</v>
      </c>
      <c r="J334" s="1">
        <v>9.2999999999999999E-2</v>
      </c>
      <c r="M334" t="b">
        <f t="shared" si="41"/>
        <v>0</v>
      </c>
      <c r="N334">
        <f t="shared" si="36"/>
        <v>1</v>
      </c>
      <c r="O334">
        <f t="shared" si="37"/>
        <v>0</v>
      </c>
      <c r="P334">
        <f t="shared" si="42"/>
        <v>1</v>
      </c>
      <c r="R334">
        <f t="shared" si="38"/>
        <v>1</v>
      </c>
      <c r="S334">
        <f t="shared" si="39"/>
        <v>10</v>
      </c>
      <c r="T334">
        <f t="shared" si="40"/>
        <v>0</v>
      </c>
    </row>
    <row r="335" spans="1:20" x14ac:dyDescent="0.2">
      <c r="A335" s="1">
        <v>58</v>
      </c>
      <c r="B335" s="1" t="s">
        <v>68</v>
      </c>
      <c r="C335" s="1">
        <v>29.957000000000001</v>
      </c>
      <c r="D335" s="1">
        <v>1</v>
      </c>
      <c r="E335" s="1">
        <v>5216</v>
      </c>
      <c r="F335" s="1">
        <v>3650</v>
      </c>
      <c r="I335" s="1">
        <v>94.391000000000005</v>
      </c>
      <c r="J335" s="1">
        <v>0</v>
      </c>
      <c r="M335" t="b">
        <f t="shared" si="41"/>
        <v>0</v>
      </c>
      <c r="N335">
        <f t="shared" si="36"/>
        <v>1</v>
      </c>
      <c r="O335">
        <f t="shared" si="37"/>
        <v>1</v>
      </c>
      <c r="P335">
        <f t="shared" si="42"/>
        <v>2</v>
      </c>
      <c r="R335">
        <f t="shared" si="38"/>
        <v>2</v>
      </c>
      <c r="S335">
        <f t="shared" si="39"/>
        <v>10</v>
      </c>
      <c r="T335">
        <f t="shared" si="40"/>
        <v>0</v>
      </c>
    </row>
    <row r="336" spans="1:20" x14ac:dyDescent="0.2">
      <c r="A336" s="1">
        <v>58</v>
      </c>
      <c r="B336" s="1" t="s">
        <v>68</v>
      </c>
      <c r="C336" s="1">
        <v>29.957000000000001</v>
      </c>
      <c r="D336" s="1">
        <v>0</v>
      </c>
      <c r="E336" s="1">
        <v>612</v>
      </c>
      <c r="F336" s="1">
        <v>432</v>
      </c>
      <c r="I336" s="1">
        <v>16.016999999999999</v>
      </c>
      <c r="J336" s="1">
        <v>7.2560000000000002</v>
      </c>
      <c r="M336" t="b">
        <f t="shared" si="41"/>
        <v>1</v>
      </c>
      <c r="N336">
        <f t="shared" si="36"/>
        <v>1</v>
      </c>
      <c r="O336">
        <f t="shared" si="37"/>
        <v>0</v>
      </c>
      <c r="P336">
        <f t="shared" si="42"/>
        <v>3</v>
      </c>
      <c r="R336">
        <f t="shared" si="38"/>
        <v>3</v>
      </c>
      <c r="S336">
        <f t="shared" si="39"/>
        <v>10</v>
      </c>
      <c r="T336">
        <f t="shared" si="40"/>
        <v>0</v>
      </c>
    </row>
    <row r="337" spans="1:20" x14ac:dyDescent="0.2">
      <c r="A337" s="1">
        <v>58</v>
      </c>
      <c r="B337" s="1" t="s">
        <v>68</v>
      </c>
      <c r="C337" s="1">
        <v>29.957000000000001</v>
      </c>
      <c r="D337" s="1">
        <v>0</v>
      </c>
      <c r="G337" s="1">
        <v>505</v>
      </c>
      <c r="H337" s="1">
        <v>574</v>
      </c>
      <c r="I337" s="1">
        <v>13.132999999999999</v>
      </c>
      <c r="K337" s="1">
        <v>-12.785</v>
      </c>
      <c r="M337" t="b">
        <f t="shared" si="41"/>
        <v>1</v>
      </c>
      <c r="N337">
        <f t="shared" si="36"/>
        <v>0</v>
      </c>
      <c r="O337">
        <f t="shared" si="37"/>
        <v>0</v>
      </c>
      <c r="P337">
        <f t="shared" si="42"/>
        <v>4</v>
      </c>
      <c r="R337">
        <f t="shared" si="38"/>
        <v>4</v>
      </c>
      <c r="S337">
        <f t="shared" si="39"/>
        <v>10</v>
      </c>
      <c r="T337">
        <f t="shared" si="40"/>
        <v>0</v>
      </c>
    </row>
    <row r="338" spans="1:20" x14ac:dyDescent="0.2">
      <c r="A338" s="1">
        <v>58</v>
      </c>
      <c r="B338" s="1" t="s">
        <v>68</v>
      </c>
      <c r="C338" s="1">
        <v>29.957000000000001</v>
      </c>
      <c r="D338" s="1">
        <v>0</v>
      </c>
      <c r="G338" s="1">
        <v>4201</v>
      </c>
      <c r="H338" s="1">
        <v>4834</v>
      </c>
      <c r="I338" s="1">
        <v>76.372</v>
      </c>
      <c r="K338" s="1">
        <v>0.32500000000000001</v>
      </c>
      <c r="M338" t="b">
        <f t="shared" si="41"/>
        <v>0</v>
      </c>
      <c r="N338">
        <f t="shared" si="36"/>
        <v>0</v>
      </c>
      <c r="O338">
        <f t="shared" si="37"/>
        <v>0</v>
      </c>
      <c r="P338">
        <f t="shared" si="42"/>
        <v>5</v>
      </c>
      <c r="R338">
        <f t="shared" si="38"/>
        <v>5</v>
      </c>
      <c r="S338">
        <f t="shared" si="39"/>
        <v>10</v>
      </c>
      <c r="T338">
        <f t="shared" si="40"/>
        <v>0</v>
      </c>
    </row>
    <row r="339" spans="1:20" x14ac:dyDescent="0.2">
      <c r="A339" s="1">
        <v>58</v>
      </c>
      <c r="B339" s="1" t="s">
        <v>68</v>
      </c>
      <c r="C339" s="1">
        <v>29.957000000000001</v>
      </c>
      <c r="D339" s="1">
        <v>1</v>
      </c>
      <c r="G339" s="1">
        <v>4198</v>
      </c>
      <c r="H339" s="1">
        <v>4829</v>
      </c>
      <c r="I339" s="1">
        <v>76.707999999999998</v>
      </c>
      <c r="K339" s="1">
        <v>0</v>
      </c>
      <c r="M339" t="b">
        <f t="shared" si="41"/>
        <v>0</v>
      </c>
      <c r="N339">
        <f t="shared" si="36"/>
        <v>0</v>
      </c>
      <c r="O339">
        <f t="shared" si="37"/>
        <v>1</v>
      </c>
      <c r="P339">
        <f t="shared" si="42"/>
        <v>6</v>
      </c>
      <c r="R339">
        <f t="shared" si="38"/>
        <v>6</v>
      </c>
      <c r="S339">
        <f t="shared" si="39"/>
        <v>10</v>
      </c>
      <c r="T339">
        <f t="shared" si="40"/>
        <v>0</v>
      </c>
    </row>
    <row r="340" spans="1:20" x14ac:dyDescent="0.2">
      <c r="A340" s="1">
        <v>59</v>
      </c>
      <c r="B340" s="1" t="s">
        <v>69</v>
      </c>
      <c r="C340" s="1">
        <v>3.9990000000000001</v>
      </c>
      <c r="D340" s="1">
        <v>0</v>
      </c>
      <c r="E340" s="1">
        <v>5216</v>
      </c>
      <c r="F340" s="1">
        <v>3651</v>
      </c>
      <c r="I340" s="1">
        <v>94.283000000000001</v>
      </c>
      <c r="J340" s="1">
        <v>6.9000000000000006E-2</v>
      </c>
      <c r="M340" t="b">
        <f t="shared" si="41"/>
        <v>0</v>
      </c>
      <c r="N340">
        <f t="shared" si="36"/>
        <v>1</v>
      </c>
      <c r="O340">
        <f t="shared" si="37"/>
        <v>0</v>
      </c>
      <c r="P340">
        <f t="shared" si="42"/>
        <v>1</v>
      </c>
      <c r="R340">
        <f t="shared" si="38"/>
        <v>1</v>
      </c>
      <c r="S340">
        <f t="shared" si="39"/>
        <v>10</v>
      </c>
      <c r="T340">
        <f t="shared" si="40"/>
        <v>0</v>
      </c>
    </row>
    <row r="341" spans="1:20" x14ac:dyDescent="0.2">
      <c r="A341" s="1">
        <v>59</v>
      </c>
      <c r="B341" s="1" t="s">
        <v>69</v>
      </c>
      <c r="C341" s="1">
        <v>3.9990000000000001</v>
      </c>
      <c r="D341" s="1">
        <v>1</v>
      </c>
      <c r="E341" s="1">
        <v>5215</v>
      </c>
      <c r="F341" s="1">
        <v>3650</v>
      </c>
      <c r="I341" s="1">
        <v>94.316000000000003</v>
      </c>
      <c r="J341" s="1">
        <v>0</v>
      </c>
      <c r="M341" t="b">
        <f t="shared" si="41"/>
        <v>0</v>
      </c>
      <c r="N341">
        <f t="shared" si="36"/>
        <v>1</v>
      </c>
      <c r="O341">
        <f t="shared" si="37"/>
        <v>1</v>
      </c>
      <c r="P341">
        <f t="shared" si="42"/>
        <v>2</v>
      </c>
      <c r="R341">
        <f t="shared" si="38"/>
        <v>2</v>
      </c>
      <c r="S341">
        <f t="shared" si="39"/>
        <v>10</v>
      </c>
      <c r="T341">
        <f t="shared" si="40"/>
        <v>0</v>
      </c>
    </row>
    <row r="342" spans="1:20" x14ac:dyDescent="0.2">
      <c r="A342" s="1">
        <v>59</v>
      </c>
      <c r="B342" s="1" t="s">
        <v>69</v>
      </c>
      <c r="C342" s="1">
        <v>3.9990000000000001</v>
      </c>
      <c r="D342" s="1">
        <v>0</v>
      </c>
      <c r="E342" s="1">
        <v>1087</v>
      </c>
      <c r="F342" s="1">
        <v>764</v>
      </c>
      <c r="I342" s="1">
        <v>26.170999999999999</v>
      </c>
      <c r="J342" s="1">
        <v>3.2109999999999999</v>
      </c>
      <c r="M342" t="b">
        <f t="shared" si="41"/>
        <v>1</v>
      </c>
      <c r="N342">
        <f t="shared" si="36"/>
        <v>1</v>
      </c>
      <c r="O342">
        <f t="shared" si="37"/>
        <v>0</v>
      </c>
      <c r="P342">
        <f t="shared" si="42"/>
        <v>3</v>
      </c>
      <c r="R342">
        <f t="shared" si="38"/>
        <v>3</v>
      </c>
      <c r="S342">
        <f t="shared" si="39"/>
        <v>10</v>
      </c>
      <c r="T342">
        <f t="shared" si="40"/>
        <v>0</v>
      </c>
    </row>
    <row r="343" spans="1:20" x14ac:dyDescent="0.2">
      <c r="A343" s="1">
        <v>59</v>
      </c>
      <c r="B343" s="1" t="s">
        <v>69</v>
      </c>
      <c r="C343" s="1">
        <v>3.9990000000000001</v>
      </c>
      <c r="D343" s="1">
        <v>0</v>
      </c>
      <c r="G343" s="1">
        <v>2636</v>
      </c>
      <c r="H343" s="1">
        <v>2999</v>
      </c>
      <c r="I343" s="1">
        <v>73.150000000000006</v>
      </c>
      <c r="K343" s="1">
        <v>-17.465</v>
      </c>
      <c r="M343" t="b">
        <f t="shared" si="41"/>
        <v>1</v>
      </c>
      <c r="N343">
        <f t="shared" si="36"/>
        <v>0</v>
      </c>
      <c r="O343">
        <f t="shared" si="37"/>
        <v>0</v>
      </c>
      <c r="P343">
        <f t="shared" si="42"/>
        <v>4</v>
      </c>
      <c r="R343">
        <f t="shared" si="38"/>
        <v>4</v>
      </c>
      <c r="S343">
        <f t="shared" si="39"/>
        <v>10</v>
      </c>
      <c r="T343">
        <f t="shared" si="40"/>
        <v>0</v>
      </c>
    </row>
    <row r="344" spans="1:20" x14ac:dyDescent="0.2">
      <c r="A344" s="1">
        <v>59</v>
      </c>
      <c r="B344" s="1" t="s">
        <v>69</v>
      </c>
      <c r="C344" s="1">
        <v>3.9990000000000001</v>
      </c>
      <c r="D344" s="1">
        <v>0</v>
      </c>
      <c r="G344" s="1">
        <v>4201</v>
      </c>
      <c r="H344" s="1">
        <v>4833</v>
      </c>
      <c r="I344" s="1">
        <v>76.349999999999994</v>
      </c>
      <c r="K344" s="1">
        <v>0.27400000000000002</v>
      </c>
      <c r="M344" t="b">
        <f t="shared" si="41"/>
        <v>0</v>
      </c>
      <c r="N344">
        <f t="shared" si="36"/>
        <v>0</v>
      </c>
      <c r="O344">
        <f t="shared" si="37"/>
        <v>0</v>
      </c>
      <c r="P344">
        <f t="shared" si="42"/>
        <v>5</v>
      </c>
      <c r="R344">
        <f t="shared" si="38"/>
        <v>5</v>
      </c>
      <c r="S344">
        <f t="shared" si="39"/>
        <v>10</v>
      </c>
      <c r="T344">
        <f t="shared" si="40"/>
        <v>0</v>
      </c>
    </row>
    <row r="345" spans="1:20" x14ac:dyDescent="0.2">
      <c r="A345" s="1">
        <v>59</v>
      </c>
      <c r="B345" s="1" t="s">
        <v>69</v>
      </c>
      <c r="C345" s="1">
        <v>3.9990000000000001</v>
      </c>
      <c r="D345" s="1">
        <v>1</v>
      </c>
      <c r="G345" s="1">
        <v>4199</v>
      </c>
      <c r="H345" s="1">
        <v>4830</v>
      </c>
      <c r="I345" s="1">
        <v>76.724000000000004</v>
      </c>
      <c r="K345" s="1">
        <v>0</v>
      </c>
      <c r="M345" t="b">
        <f t="shared" si="41"/>
        <v>0</v>
      </c>
      <c r="N345">
        <f t="shared" si="36"/>
        <v>0</v>
      </c>
      <c r="O345">
        <f t="shared" si="37"/>
        <v>1</v>
      </c>
      <c r="P345">
        <f t="shared" si="42"/>
        <v>6</v>
      </c>
      <c r="R345">
        <f t="shared" si="38"/>
        <v>6</v>
      </c>
      <c r="S345">
        <f t="shared" si="39"/>
        <v>10</v>
      </c>
      <c r="T345">
        <f t="shared" si="40"/>
        <v>0</v>
      </c>
    </row>
    <row r="346" spans="1:20" x14ac:dyDescent="0.2">
      <c r="A346" s="1">
        <v>60</v>
      </c>
      <c r="B346" s="1" t="s">
        <v>70</v>
      </c>
      <c r="C346" s="1">
        <v>11.996</v>
      </c>
      <c r="D346" s="1">
        <v>0</v>
      </c>
      <c r="E346" s="1">
        <v>5220</v>
      </c>
      <c r="F346" s="1">
        <v>3654</v>
      </c>
      <c r="I346" s="1">
        <v>94.337999999999994</v>
      </c>
      <c r="J346" s="1">
        <v>7.0999999999999994E-2</v>
      </c>
      <c r="M346" t="b">
        <f t="shared" si="41"/>
        <v>0</v>
      </c>
      <c r="N346">
        <f t="shared" si="36"/>
        <v>1</v>
      </c>
      <c r="O346">
        <f t="shared" si="37"/>
        <v>0</v>
      </c>
      <c r="P346">
        <f t="shared" si="42"/>
        <v>1</v>
      </c>
      <c r="R346">
        <f t="shared" si="38"/>
        <v>1</v>
      </c>
      <c r="S346">
        <f t="shared" si="39"/>
        <v>10</v>
      </c>
      <c r="T346">
        <f t="shared" si="40"/>
        <v>0</v>
      </c>
    </row>
    <row r="347" spans="1:20" x14ac:dyDescent="0.2">
      <c r="A347" s="1">
        <v>60</v>
      </c>
      <c r="B347" s="1" t="s">
        <v>70</v>
      </c>
      <c r="C347" s="1">
        <v>11.996</v>
      </c>
      <c r="D347" s="1">
        <v>1</v>
      </c>
      <c r="E347" s="1">
        <v>5217</v>
      </c>
      <c r="F347" s="1">
        <v>3652</v>
      </c>
      <c r="I347" s="1">
        <v>94.328999999999994</v>
      </c>
      <c r="J347" s="1">
        <v>0</v>
      </c>
      <c r="M347" t="b">
        <f t="shared" si="41"/>
        <v>0</v>
      </c>
      <c r="N347">
        <f t="shared" si="36"/>
        <v>1</v>
      </c>
      <c r="O347">
        <f t="shared" si="37"/>
        <v>1</v>
      </c>
      <c r="P347">
        <f t="shared" si="42"/>
        <v>2</v>
      </c>
      <c r="R347">
        <f t="shared" si="38"/>
        <v>2</v>
      </c>
      <c r="S347">
        <f t="shared" si="39"/>
        <v>10</v>
      </c>
      <c r="T347">
        <f t="shared" si="40"/>
        <v>0</v>
      </c>
    </row>
    <row r="348" spans="1:20" x14ac:dyDescent="0.2">
      <c r="A348" s="1">
        <v>60</v>
      </c>
      <c r="B348" s="1" t="s">
        <v>70</v>
      </c>
      <c r="C348" s="1">
        <v>11.996</v>
      </c>
      <c r="D348" s="1">
        <v>0</v>
      </c>
      <c r="G348" s="1">
        <v>4204</v>
      </c>
      <c r="H348" s="1">
        <v>4837</v>
      </c>
      <c r="I348" s="1">
        <v>76.462999999999994</v>
      </c>
      <c r="K348" s="1">
        <v>0.28999999999999998</v>
      </c>
      <c r="M348" t="b">
        <f t="shared" si="41"/>
        <v>0</v>
      </c>
      <c r="N348">
        <f t="shared" si="36"/>
        <v>0</v>
      </c>
      <c r="O348">
        <f t="shared" si="37"/>
        <v>0</v>
      </c>
      <c r="P348">
        <f t="shared" si="42"/>
        <v>5</v>
      </c>
      <c r="R348">
        <f t="shared" si="38"/>
        <v>3</v>
      </c>
      <c r="S348">
        <f t="shared" si="39"/>
        <v>12</v>
      </c>
      <c r="T348">
        <f t="shared" si="40"/>
        <v>0</v>
      </c>
    </row>
    <row r="349" spans="1:20" x14ac:dyDescent="0.2">
      <c r="A349" s="1">
        <v>60</v>
      </c>
      <c r="B349" s="1" t="s">
        <v>70</v>
      </c>
      <c r="C349" s="1">
        <v>11.996</v>
      </c>
      <c r="D349" s="1">
        <v>1</v>
      </c>
      <c r="G349" s="1">
        <v>4203</v>
      </c>
      <c r="H349" s="1">
        <v>4835</v>
      </c>
      <c r="I349" s="1">
        <v>76.802000000000007</v>
      </c>
      <c r="K349" s="1">
        <v>0</v>
      </c>
      <c r="M349" t="b">
        <f t="shared" si="41"/>
        <v>0</v>
      </c>
      <c r="N349">
        <f t="shared" si="36"/>
        <v>0</v>
      </c>
      <c r="O349">
        <f t="shared" si="37"/>
        <v>1</v>
      </c>
      <c r="P349">
        <f t="shared" si="42"/>
        <v>6</v>
      </c>
      <c r="R349">
        <f t="shared" si="38"/>
        <v>4</v>
      </c>
      <c r="S349">
        <f t="shared" si="39"/>
        <v>12</v>
      </c>
      <c r="T349">
        <f t="shared" si="40"/>
        <v>0</v>
      </c>
    </row>
    <row r="350" spans="1:20" x14ac:dyDescent="0.2">
      <c r="A350" s="1">
        <v>61</v>
      </c>
      <c r="B350" s="1" t="s">
        <v>71</v>
      </c>
      <c r="C350" s="1">
        <v>3.9969999999999999</v>
      </c>
      <c r="D350" s="1">
        <v>0</v>
      </c>
      <c r="E350" s="1">
        <v>5220</v>
      </c>
      <c r="F350" s="1">
        <v>3655</v>
      </c>
      <c r="I350" s="1">
        <v>94.471999999999994</v>
      </c>
      <c r="J350" s="1">
        <v>0.10199999999999999</v>
      </c>
      <c r="M350" t="b">
        <f t="shared" si="41"/>
        <v>0</v>
      </c>
      <c r="N350">
        <f t="shared" si="36"/>
        <v>1</v>
      </c>
      <c r="O350">
        <f t="shared" si="37"/>
        <v>0</v>
      </c>
      <c r="P350">
        <f t="shared" si="42"/>
        <v>1</v>
      </c>
      <c r="R350">
        <f t="shared" si="38"/>
        <v>1</v>
      </c>
      <c r="S350">
        <f t="shared" si="39"/>
        <v>12</v>
      </c>
      <c r="T350">
        <f t="shared" si="40"/>
        <v>0</v>
      </c>
    </row>
    <row r="351" spans="1:20" x14ac:dyDescent="0.2">
      <c r="A351" s="1">
        <v>61</v>
      </c>
      <c r="B351" s="1" t="s">
        <v>71</v>
      </c>
      <c r="C351" s="1">
        <v>3.9969999999999999</v>
      </c>
      <c r="D351" s="1">
        <v>1</v>
      </c>
      <c r="E351" s="1">
        <v>5219</v>
      </c>
      <c r="F351" s="1">
        <v>3653</v>
      </c>
      <c r="I351" s="1">
        <v>94.397999999999996</v>
      </c>
      <c r="J351" s="1">
        <v>0</v>
      </c>
      <c r="M351" t="b">
        <f t="shared" si="41"/>
        <v>0</v>
      </c>
      <c r="N351">
        <f t="shared" si="36"/>
        <v>1</v>
      </c>
      <c r="O351">
        <f t="shared" si="37"/>
        <v>1</v>
      </c>
      <c r="P351">
        <f t="shared" si="42"/>
        <v>2</v>
      </c>
      <c r="R351">
        <f t="shared" si="38"/>
        <v>2</v>
      </c>
      <c r="S351">
        <f t="shared" si="39"/>
        <v>12</v>
      </c>
      <c r="T351">
        <f t="shared" si="40"/>
        <v>0</v>
      </c>
    </row>
    <row r="352" spans="1:20" x14ac:dyDescent="0.2">
      <c r="A352" s="1">
        <v>61</v>
      </c>
      <c r="B352" s="1" t="s">
        <v>71</v>
      </c>
      <c r="C352" s="1">
        <v>3.9969999999999999</v>
      </c>
      <c r="D352" s="1">
        <v>0</v>
      </c>
      <c r="E352" s="1">
        <v>127</v>
      </c>
      <c r="F352" s="1">
        <v>89</v>
      </c>
      <c r="I352" s="1">
        <v>3.282</v>
      </c>
      <c r="J352" s="1">
        <v>4.9550000000000001</v>
      </c>
      <c r="M352" t="b">
        <f t="shared" si="41"/>
        <v>1</v>
      </c>
      <c r="N352">
        <f t="shared" si="36"/>
        <v>1</v>
      </c>
      <c r="O352">
        <f t="shared" si="37"/>
        <v>0</v>
      </c>
      <c r="P352">
        <f t="shared" si="42"/>
        <v>3</v>
      </c>
      <c r="R352">
        <f t="shared" si="38"/>
        <v>3</v>
      </c>
      <c r="S352">
        <f t="shared" si="39"/>
        <v>12</v>
      </c>
      <c r="T352">
        <f t="shared" si="40"/>
        <v>0</v>
      </c>
    </row>
    <row r="353" spans="1:20" x14ac:dyDescent="0.2">
      <c r="A353" s="1">
        <v>61</v>
      </c>
      <c r="B353" s="1" t="s">
        <v>71</v>
      </c>
      <c r="C353" s="1">
        <v>3.9969999999999999</v>
      </c>
      <c r="D353" s="1">
        <v>0</v>
      </c>
      <c r="G353" s="1">
        <v>236</v>
      </c>
      <c r="H353" s="1">
        <v>267</v>
      </c>
      <c r="I353" s="1">
        <v>6.1070000000000002</v>
      </c>
      <c r="K353" s="1">
        <v>-15.343999999999999</v>
      </c>
      <c r="M353" t="b">
        <f t="shared" si="41"/>
        <v>1</v>
      </c>
      <c r="N353">
        <f t="shared" si="36"/>
        <v>0</v>
      </c>
      <c r="O353">
        <f t="shared" si="37"/>
        <v>0</v>
      </c>
      <c r="P353">
        <f t="shared" si="42"/>
        <v>4</v>
      </c>
      <c r="R353">
        <f t="shared" si="38"/>
        <v>4</v>
      </c>
      <c r="S353">
        <f t="shared" si="39"/>
        <v>12</v>
      </c>
      <c r="T353">
        <f t="shared" si="40"/>
        <v>0</v>
      </c>
    </row>
    <row r="354" spans="1:20" x14ac:dyDescent="0.2">
      <c r="A354" s="1">
        <v>61</v>
      </c>
      <c r="B354" s="1" t="s">
        <v>71</v>
      </c>
      <c r="C354" s="1">
        <v>3.9969999999999999</v>
      </c>
      <c r="D354" s="1">
        <v>0</v>
      </c>
      <c r="G354" s="1">
        <v>4202</v>
      </c>
      <c r="H354" s="1">
        <v>4835</v>
      </c>
      <c r="I354" s="1">
        <v>76.477000000000004</v>
      </c>
      <c r="K354" s="1">
        <v>0.315</v>
      </c>
      <c r="M354" t="b">
        <f t="shared" si="41"/>
        <v>0</v>
      </c>
      <c r="N354">
        <f t="shared" si="36"/>
        <v>0</v>
      </c>
      <c r="O354">
        <f t="shared" si="37"/>
        <v>0</v>
      </c>
      <c r="P354">
        <f t="shared" si="42"/>
        <v>5</v>
      </c>
      <c r="R354">
        <f t="shared" si="38"/>
        <v>5</v>
      </c>
      <c r="S354">
        <f t="shared" si="39"/>
        <v>12</v>
      </c>
      <c r="T354">
        <f t="shared" si="40"/>
        <v>0</v>
      </c>
    </row>
    <row r="355" spans="1:20" x14ac:dyDescent="0.2">
      <c r="A355" s="1">
        <v>61</v>
      </c>
      <c r="B355" s="1" t="s">
        <v>71</v>
      </c>
      <c r="C355" s="1">
        <v>3.9969999999999999</v>
      </c>
      <c r="D355" s="1">
        <v>1</v>
      </c>
      <c r="G355" s="1">
        <v>4201</v>
      </c>
      <c r="H355" s="1">
        <v>4832</v>
      </c>
      <c r="I355" s="1">
        <v>76.722999999999999</v>
      </c>
      <c r="K355" s="1">
        <v>0</v>
      </c>
      <c r="M355" t="b">
        <f t="shared" si="41"/>
        <v>0</v>
      </c>
      <c r="N355">
        <f t="shared" si="36"/>
        <v>0</v>
      </c>
      <c r="O355">
        <f t="shared" si="37"/>
        <v>1</v>
      </c>
      <c r="P355">
        <f t="shared" si="42"/>
        <v>6</v>
      </c>
      <c r="R355">
        <f t="shared" si="38"/>
        <v>6</v>
      </c>
      <c r="S355">
        <f t="shared" si="39"/>
        <v>12</v>
      </c>
      <c r="T355">
        <f t="shared" si="40"/>
        <v>0</v>
      </c>
    </row>
    <row r="356" spans="1:20" x14ac:dyDescent="0.2">
      <c r="A356" s="1">
        <v>62</v>
      </c>
      <c r="B356" s="1" t="s">
        <v>72</v>
      </c>
      <c r="C356" s="1">
        <v>30.145</v>
      </c>
      <c r="D356" s="1">
        <v>0</v>
      </c>
      <c r="E356" s="1">
        <v>5224</v>
      </c>
      <c r="F356" s="1">
        <v>3657</v>
      </c>
      <c r="I356" s="1">
        <v>94.394999999999996</v>
      </c>
      <c r="J356" s="1">
        <v>6.8000000000000005E-2</v>
      </c>
      <c r="M356" t="b">
        <f t="shared" si="41"/>
        <v>0</v>
      </c>
      <c r="N356">
        <f t="shared" si="36"/>
        <v>1</v>
      </c>
      <c r="O356">
        <f t="shared" si="37"/>
        <v>0</v>
      </c>
      <c r="P356">
        <f t="shared" si="42"/>
        <v>1</v>
      </c>
      <c r="R356">
        <f t="shared" si="38"/>
        <v>1</v>
      </c>
      <c r="S356">
        <f t="shared" si="39"/>
        <v>12</v>
      </c>
      <c r="T356">
        <f t="shared" si="40"/>
        <v>0</v>
      </c>
    </row>
    <row r="357" spans="1:20" x14ac:dyDescent="0.2">
      <c r="A357" s="1">
        <v>62</v>
      </c>
      <c r="B357" s="1" t="s">
        <v>72</v>
      </c>
      <c r="C357" s="1">
        <v>30.145</v>
      </c>
      <c r="D357" s="1">
        <v>1</v>
      </c>
      <c r="E357" s="1">
        <v>5222</v>
      </c>
      <c r="F357" s="1">
        <v>3656</v>
      </c>
      <c r="I357" s="1">
        <v>94.474000000000004</v>
      </c>
      <c r="J357" s="1">
        <v>0</v>
      </c>
      <c r="M357" t="b">
        <f t="shared" si="41"/>
        <v>0</v>
      </c>
      <c r="N357">
        <f t="shared" si="36"/>
        <v>1</v>
      </c>
      <c r="O357">
        <f t="shared" si="37"/>
        <v>1</v>
      </c>
      <c r="P357">
        <f t="shared" si="42"/>
        <v>2</v>
      </c>
      <c r="R357">
        <f t="shared" si="38"/>
        <v>2</v>
      </c>
      <c r="S357">
        <f t="shared" si="39"/>
        <v>12</v>
      </c>
      <c r="T357">
        <f t="shared" si="40"/>
        <v>0</v>
      </c>
    </row>
    <row r="358" spans="1:20" x14ac:dyDescent="0.2">
      <c r="A358" s="1">
        <v>62</v>
      </c>
      <c r="B358" s="1" t="s">
        <v>72</v>
      </c>
      <c r="C358" s="1">
        <v>30.145</v>
      </c>
      <c r="D358" s="1">
        <v>0</v>
      </c>
      <c r="E358" s="1">
        <v>1947</v>
      </c>
      <c r="F358" s="1">
        <v>1374</v>
      </c>
      <c r="I358" s="1">
        <v>47.938000000000002</v>
      </c>
      <c r="J358" s="1">
        <v>7.2119999999999997</v>
      </c>
      <c r="M358" t="b">
        <f t="shared" si="41"/>
        <v>1</v>
      </c>
      <c r="N358">
        <f t="shared" si="36"/>
        <v>1</v>
      </c>
      <c r="O358">
        <f t="shared" si="37"/>
        <v>0</v>
      </c>
      <c r="P358">
        <f t="shared" si="42"/>
        <v>3</v>
      </c>
      <c r="R358">
        <f t="shared" si="38"/>
        <v>3</v>
      </c>
      <c r="S358">
        <f t="shared" si="39"/>
        <v>12</v>
      </c>
      <c r="T358">
        <f t="shared" si="40"/>
        <v>0</v>
      </c>
    </row>
    <row r="359" spans="1:20" x14ac:dyDescent="0.2">
      <c r="A359" s="1">
        <v>62</v>
      </c>
      <c r="B359" s="1" t="s">
        <v>72</v>
      </c>
      <c r="C359" s="1">
        <v>30.145</v>
      </c>
      <c r="D359" s="1">
        <v>0</v>
      </c>
      <c r="G359" s="1">
        <v>3164</v>
      </c>
      <c r="H359" s="1">
        <v>3608</v>
      </c>
      <c r="I359" s="1">
        <v>93.350999999999999</v>
      </c>
      <c r="K359" s="1">
        <v>-15.625</v>
      </c>
      <c r="M359" t="b">
        <f t="shared" si="41"/>
        <v>1</v>
      </c>
      <c r="N359">
        <f t="shared" si="36"/>
        <v>0</v>
      </c>
      <c r="O359">
        <f t="shared" si="37"/>
        <v>0</v>
      </c>
      <c r="P359">
        <f t="shared" si="42"/>
        <v>4</v>
      </c>
      <c r="R359">
        <f t="shared" si="38"/>
        <v>4</v>
      </c>
      <c r="S359">
        <f t="shared" si="39"/>
        <v>12</v>
      </c>
      <c r="T359">
        <f t="shared" si="40"/>
        <v>0</v>
      </c>
    </row>
    <row r="360" spans="1:20" x14ac:dyDescent="0.2">
      <c r="A360" s="1">
        <v>62</v>
      </c>
      <c r="B360" s="1" t="s">
        <v>72</v>
      </c>
      <c r="C360" s="1">
        <v>30.145</v>
      </c>
      <c r="D360" s="1">
        <v>0</v>
      </c>
      <c r="G360" s="1">
        <v>4208</v>
      </c>
      <c r="H360" s="1">
        <v>4841</v>
      </c>
      <c r="I360" s="1">
        <v>76.582999999999998</v>
      </c>
      <c r="K360" s="1">
        <v>0.218</v>
      </c>
      <c r="M360" t="b">
        <f t="shared" si="41"/>
        <v>0</v>
      </c>
      <c r="N360">
        <f t="shared" si="36"/>
        <v>0</v>
      </c>
      <c r="O360">
        <f t="shared" si="37"/>
        <v>0</v>
      </c>
      <c r="P360">
        <f t="shared" si="42"/>
        <v>5</v>
      </c>
      <c r="R360">
        <f t="shared" si="38"/>
        <v>5</v>
      </c>
      <c r="S360">
        <f t="shared" si="39"/>
        <v>12</v>
      </c>
      <c r="T360">
        <f t="shared" si="40"/>
        <v>0</v>
      </c>
    </row>
    <row r="361" spans="1:20" x14ac:dyDescent="0.2">
      <c r="A361" s="1">
        <v>62</v>
      </c>
      <c r="B361" s="1" t="s">
        <v>72</v>
      </c>
      <c r="C361" s="1">
        <v>30.145</v>
      </c>
      <c r="D361" s="1">
        <v>1</v>
      </c>
      <c r="G361" s="1">
        <v>4206</v>
      </c>
      <c r="H361" s="1">
        <v>4838</v>
      </c>
      <c r="I361" s="1">
        <v>76.869</v>
      </c>
      <c r="K361" s="1">
        <v>0</v>
      </c>
      <c r="M361" t="b">
        <f t="shared" si="41"/>
        <v>0</v>
      </c>
      <c r="N361">
        <f t="shared" si="36"/>
        <v>0</v>
      </c>
      <c r="O361">
        <f t="shared" si="37"/>
        <v>1</v>
      </c>
      <c r="P361">
        <f t="shared" si="42"/>
        <v>6</v>
      </c>
      <c r="R361">
        <f t="shared" si="38"/>
        <v>6</v>
      </c>
      <c r="S361">
        <f t="shared" si="39"/>
        <v>12</v>
      </c>
      <c r="T361">
        <f t="shared" si="40"/>
        <v>0</v>
      </c>
    </row>
    <row r="362" spans="1:20" x14ac:dyDescent="0.2">
      <c r="A362" s="1">
        <v>63</v>
      </c>
      <c r="B362" s="1" t="s">
        <v>73</v>
      </c>
      <c r="C362" s="1">
        <v>29.774000000000001</v>
      </c>
      <c r="D362" s="1">
        <v>0</v>
      </c>
      <c r="E362" s="1">
        <v>5229</v>
      </c>
      <c r="F362" s="1">
        <v>3661</v>
      </c>
      <c r="I362" s="1">
        <v>94.643000000000001</v>
      </c>
      <c r="J362" s="1">
        <v>4.2000000000000003E-2</v>
      </c>
      <c r="M362" t="b">
        <f t="shared" si="41"/>
        <v>0</v>
      </c>
      <c r="N362">
        <f t="shared" si="36"/>
        <v>1</v>
      </c>
      <c r="O362">
        <f t="shared" si="37"/>
        <v>0</v>
      </c>
      <c r="P362">
        <f t="shared" si="42"/>
        <v>1</v>
      </c>
      <c r="R362">
        <f t="shared" si="38"/>
        <v>1</v>
      </c>
      <c r="S362">
        <f t="shared" si="39"/>
        <v>12</v>
      </c>
      <c r="T362">
        <f t="shared" si="40"/>
        <v>0</v>
      </c>
    </row>
    <row r="363" spans="1:20" x14ac:dyDescent="0.2">
      <c r="A363" s="1">
        <v>63</v>
      </c>
      <c r="B363" s="1" t="s">
        <v>73</v>
      </c>
      <c r="C363" s="1">
        <v>29.774000000000001</v>
      </c>
      <c r="D363" s="1">
        <v>1</v>
      </c>
      <c r="E363" s="1">
        <v>5225</v>
      </c>
      <c r="F363" s="1">
        <v>3658</v>
      </c>
      <c r="I363" s="1">
        <v>94.600999999999999</v>
      </c>
      <c r="J363" s="1">
        <v>0</v>
      </c>
      <c r="M363" t="b">
        <f t="shared" si="41"/>
        <v>0</v>
      </c>
      <c r="N363">
        <f t="shared" si="36"/>
        <v>1</v>
      </c>
      <c r="O363">
        <f t="shared" si="37"/>
        <v>1</v>
      </c>
      <c r="P363">
        <f t="shared" si="42"/>
        <v>2</v>
      </c>
      <c r="R363">
        <f t="shared" si="38"/>
        <v>2</v>
      </c>
      <c r="S363">
        <f t="shared" si="39"/>
        <v>12</v>
      </c>
      <c r="T363">
        <f t="shared" si="40"/>
        <v>0</v>
      </c>
    </row>
    <row r="364" spans="1:20" x14ac:dyDescent="0.2">
      <c r="A364" s="1">
        <v>63</v>
      </c>
      <c r="B364" s="1" t="s">
        <v>73</v>
      </c>
      <c r="C364" s="1">
        <v>29.774000000000001</v>
      </c>
      <c r="D364" s="1">
        <v>0</v>
      </c>
      <c r="E364" s="1">
        <v>3874</v>
      </c>
      <c r="F364" s="1">
        <v>2727</v>
      </c>
      <c r="I364" s="1">
        <v>91.744</v>
      </c>
      <c r="J364" s="1">
        <v>4.702</v>
      </c>
      <c r="M364" t="b">
        <f t="shared" si="41"/>
        <v>1</v>
      </c>
      <c r="N364">
        <f t="shared" si="36"/>
        <v>1</v>
      </c>
      <c r="O364">
        <f t="shared" si="37"/>
        <v>0</v>
      </c>
      <c r="P364">
        <f t="shared" si="42"/>
        <v>3</v>
      </c>
      <c r="R364">
        <f t="shared" si="38"/>
        <v>3</v>
      </c>
      <c r="S364">
        <f t="shared" si="39"/>
        <v>12</v>
      </c>
      <c r="T364">
        <f t="shared" si="40"/>
        <v>0</v>
      </c>
    </row>
    <row r="365" spans="1:20" x14ac:dyDescent="0.2">
      <c r="A365" s="1">
        <v>63</v>
      </c>
      <c r="B365" s="1" t="s">
        <v>73</v>
      </c>
      <c r="C365" s="1">
        <v>29.774000000000001</v>
      </c>
      <c r="D365" s="1">
        <v>0</v>
      </c>
      <c r="G365" s="1">
        <v>5091</v>
      </c>
      <c r="H365" s="1">
        <v>5815</v>
      </c>
      <c r="I365" s="1">
        <v>170.43</v>
      </c>
      <c r="K365" s="1">
        <v>-16.061</v>
      </c>
      <c r="M365" t="b">
        <f t="shared" si="41"/>
        <v>1</v>
      </c>
      <c r="N365">
        <f t="shared" si="36"/>
        <v>0</v>
      </c>
      <c r="O365">
        <f t="shared" si="37"/>
        <v>0</v>
      </c>
      <c r="P365">
        <f t="shared" si="42"/>
        <v>4</v>
      </c>
      <c r="R365">
        <f t="shared" si="38"/>
        <v>4</v>
      </c>
      <c r="S365">
        <f t="shared" si="39"/>
        <v>12</v>
      </c>
      <c r="T365">
        <f t="shared" si="40"/>
        <v>0</v>
      </c>
    </row>
    <row r="366" spans="1:20" x14ac:dyDescent="0.2">
      <c r="A366" s="1">
        <v>63</v>
      </c>
      <c r="B366" s="1" t="s">
        <v>73</v>
      </c>
      <c r="C366" s="1">
        <v>29.774000000000001</v>
      </c>
      <c r="D366" s="1">
        <v>0</v>
      </c>
      <c r="G366" s="1">
        <v>4211</v>
      </c>
      <c r="H366" s="1">
        <v>4845</v>
      </c>
      <c r="I366" s="1">
        <v>76.634</v>
      </c>
      <c r="K366" s="1">
        <v>0.20300000000000001</v>
      </c>
      <c r="M366" t="b">
        <f t="shared" si="41"/>
        <v>0</v>
      </c>
      <c r="N366">
        <f t="shared" si="36"/>
        <v>0</v>
      </c>
      <c r="O366">
        <f t="shared" si="37"/>
        <v>0</v>
      </c>
      <c r="P366">
        <f t="shared" si="42"/>
        <v>5</v>
      </c>
      <c r="R366">
        <f t="shared" si="38"/>
        <v>5</v>
      </c>
      <c r="S366">
        <f t="shared" si="39"/>
        <v>12</v>
      </c>
      <c r="T366">
        <f t="shared" si="40"/>
        <v>0</v>
      </c>
    </row>
    <row r="367" spans="1:20" x14ac:dyDescent="0.2">
      <c r="A367" s="1">
        <v>63</v>
      </c>
      <c r="B367" s="1" t="s">
        <v>73</v>
      </c>
      <c r="C367" s="1">
        <v>29.774000000000001</v>
      </c>
      <c r="D367" s="1">
        <v>1</v>
      </c>
      <c r="G367" s="1">
        <v>4210</v>
      </c>
      <c r="H367" s="1">
        <v>4843</v>
      </c>
      <c r="I367" s="1">
        <v>76.875</v>
      </c>
      <c r="K367" s="1">
        <v>0</v>
      </c>
      <c r="M367" t="b">
        <f t="shared" si="41"/>
        <v>0</v>
      </c>
      <c r="N367">
        <f t="shared" si="36"/>
        <v>0</v>
      </c>
      <c r="O367">
        <f t="shared" si="37"/>
        <v>1</v>
      </c>
      <c r="P367">
        <f t="shared" si="42"/>
        <v>6</v>
      </c>
      <c r="R367">
        <f t="shared" si="38"/>
        <v>6</v>
      </c>
      <c r="S367">
        <f t="shared" si="39"/>
        <v>12</v>
      </c>
      <c r="T367">
        <f t="shared" si="40"/>
        <v>0</v>
      </c>
    </row>
    <row r="368" spans="1:20" x14ac:dyDescent="0.2">
      <c r="A368" s="1">
        <v>64</v>
      </c>
      <c r="B368" s="1" t="s">
        <v>74</v>
      </c>
      <c r="C368" s="1">
        <v>3.9980000000000002</v>
      </c>
      <c r="D368" s="1">
        <v>0</v>
      </c>
      <c r="E368" s="1">
        <v>5229</v>
      </c>
      <c r="F368" s="1">
        <v>3661</v>
      </c>
      <c r="I368" s="1">
        <v>94.564999999999998</v>
      </c>
      <c r="J368" s="1">
        <v>4.3999999999999997E-2</v>
      </c>
      <c r="M368" t="b">
        <f t="shared" si="41"/>
        <v>0</v>
      </c>
      <c r="N368">
        <f t="shared" si="36"/>
        <v>1</v>
      </c>
      <c r="O368">
        <f t="shared" si="37"/>
        <v>0</v>
      </c>
      <c r="P368">
        <f t="shared" si="42"/>
        <v>1</v>
      </c>
      <c r="R368">
        <f t="shared" si="38"/>
        <v>1</v>
      </c>
      <c r="S368">
        <f t="shared" si="39"/>
        <v>12</v>
      </c>
      <c r="T368">
        <f t="shared" si="40"/>
        <v>0</v>
      </c>
    </row>
    <row r="369" spans="1:20" x14ac:dyDescent="0.2">
      <c r="A369" s="1">
        <v>64</v>
      </c>
      <c r="B369" s="1" t="s">
        <v>74</v>
      </c>
      <c r="C369" s="1">
        <v>3.9980000000000002</v>
      </c>
      <c r="D369" s="1">
        <v>1</v>
      </c>
      <c r="E369" s="1">
        <v>5228</v>
      </c>
      <c r="F369" s="1">
        <v>3661</v>
      </c>
      <c r="I369" s="1">
        <v>94.540999999999997</v>
      </c>
      <c r="J369" s="1">
        <v>0</v>
      </c>
      <c r="M369" t="b">
        <f t="shared" si="41"/>
        <v>0</v>
      </c>
      <c r="N369">
        <f t="shared" si="36"/>
        <v>1</v>
      </c>
      <c r="O369">
        <f t="shared" si="37"/>
        <v>1</v>
      </c>
      <c r="P369">
        <f t="shared" si="42"/>
        <v>2</v>
      </c>
      <c r="R369">
        <f t="shared" si="38"/>
        <v>2</v>
      </c>
      <c r="S369">
        <f t="shared" si="39"/>
        <v>12</v>
      </c>
      <c r="T369">
        <f t="shared" si="40"/>
        <v>0</v>
      </c>
    </row>
    <row r="370" spans="1:20" x14ac:dyDescent="0.2">
      <c r="A370" s="1">
        <v>64</v>
      </c>
      <c r="B370" s="1" t="s">
        <v>74</v>
      </c>
      <c r="C370" s="1">
        <v>3.9980000000000002</v>
      </c>
      <c r="D370" s="1">
        <v>0</v>
      </c>
      <c r="E370" s="1">
        <v>1921</v>
      </c>
      <c r="F370" s="1">
        <v>1350</v>
      </c>
      <c r="I370" s="1">
        <v>44.429000000000002</v>
      </c>
      <c r="J370" s="1">
        <v>2.7029999999999998</v>
      </c>
      <c r="M370" t="b">
        <f t="shared" si="41"/>
        <v>1</v>
      </c>
      <c r="N370">
        <f t="shared" si="36"/>
        <v>1</v>
      </c>
      <c r="O370">
        <f t="shared" si="37"/>
        <v>0</v>
      </c>
      <c r="P370">
        <f t="shared" si="42"/>
        <v>3</v>
      </c>
      <c r="R370">
        <f t="shared" si="38"/>
        <v>3</v>
      </c>
      <c r="S370">
        <f t="shared" si="39"/>
        <v>12</v>
      </c>
      <c r="T370">
        <f t="shared" si="40"/>
        <v>0</v>
      </c>
    </row>
    <row r="371" spans="1:20" x14ac:dyDescent="0.2">
      <c r="A371" s="1">
        <v>64</v>
      </c>
      <c r="B371" s="1" t="s">
        <v>74</v>
      </c>
      <c r="C371" s="1">
        <v>3.9980000000000002</v>
      </c>
      <c r="D371" s="1">
        <v>0</v>
      </c>
      <c r="G371" s="1">
        <v>3874</v>
      </c>
      <c r="H371" s="1">
        <v>4420</v>
      </c>
      <c r="I371" s="1">
        <v>115.232</v>
      </c>
      <c r="K371" s="1">
        <v>-17.216999999999999</v>
      </c>
      <c r="M371" t="b">
        <f t="shared" si="41"/>
        <v>1</v>
      </c>
      <c r="N371">
        <f t="shared" si="36"/>
        <v>0</v>
      </c>
      <c r="O371">
        <f t="shared" si="37"/>
        <v>0</v>
      </c>
      <c r="P371">
        <f t="shared" si="42"/>
        <v>4</v>
      </c>
      <c r="R371">
        <f t="shared" si="38"/>
        <v>4</v>
      </c>
      <c r="S371">
        <f t="shared" si="39"/>
        <v>12</v>
      </c>
      <c r="T371">
        <f t="shared" si="40"/>
        <v>0</v>
      </c>
    </row>
    <row r="372" spans="1:20" x14ac:dyDescent="0.2">
      <c r="A372" s="1">
        <v>64</v>
      </c>
      <c r="B372" s="1" t="s">
        <v>74</v>
      </c>
      <c r="C372" s="1">
        <v>3.9980000000000002</v>
      </c>
      <c r="D372" s="1">
        <v>0</v>
      </c>
      <c r="G372" s="1">
        <v>4212</v>
      </c>
      <c r="H372" s="1">
        <v>4846</v>
      </c>
      <c r="I372" s="1">
        <v>76.665999999999997</v>
      </c>
      <c r="K372" s="1">
        <v>0.247</v>
      </c>
      <c r="M372" t="b">
        <f t="shared" si="41"/>
        <v>0</v>
      </c>
      <c r="N372">
        <f t="shared" si="36"/>
        <v>0</v>
      </c>
      <c r="O372">
        <f t="shared" si="37"/>
        <v>0</v>
      </c>
      <c r="P372">
        <f t="shared" si="42"/>
        <v>5</v>
      </c>
      <c r="R372">
        <f t="shared" si="38"/>
        <v>5</v>
      </c>
      <c r="S372">
        <f t="shared" si="39"/>
        <v>12</v>
      </c>
      <c r="T372">
        <f t="shared" si="40"/>
        <v>0</v>
      </c>
    </row>
    <row r="373" spans="1:20" x14ac:dyDescent="0.2">
      <c r="A373" s="1">
        <v>64</v>
      </c>
      <c r="B373" s="1" t="s">
        <v>74</v>
      </c>
      <c r="C373" s="1">
        <v>3.9980000000000002</v>
      </c>
      <c r="D373" s="1">
        <v>1</v>
      </c>
      <c r="G373" s="1">
        <v>4210</v>
      </c>
      <c r="H373" s="1">
        <v>4844</v>
      </c>
      <c r="I373" s="1">
        <v>76.903000000000006</v>
      </c>
      <c r="K373" s="1">
        <v>0</v>
      </c>
      <c r="M373" t="b">
        <f t="shared" si="41"/>
        <v>0</v>
      </c>
      <c r="N373">
        <f t="shared" si="36"/>
        <v>0</v>
      </c>
      <c r="O373">
        <f t="shared" si="37"/>
        <v>1</v>
      </c>
      <c r="P373">
        <f t="shared" si="42"/>
        <v>6</v>
      </c>
      <c r="R373">
        <f t="shared" si="38"/>
        <v>6</v>
      </c>
      <c r="S373">
        <f t="shared" si="39"/>
        <v>12</v>
      </c>
      <c r="T373">
        <f t="shared" si="40"/>
        <v>0</v>
      </c>
    </row>
    <row r="374" spans="1:20" x14ac:dyDescent="0.2">
      <c r="A374" s="1">
        <v>65</v>
      </c>
      <c r="B374" s="1" t="s">
        <v>75</v>
      </c>
      <c r="C374" s="1">
        <v>4</v>
      </c>
      <c r="D374" s="1">
        <v>0</v>
      </c>
      <c r="E374" s="1">
        <v>5232</v>
      </c>
      <c r="F374" s="1">
        <v>3664</v>
      </c>
      <c r="I374" s="1">
        <v>94.762</v>
      </c>
      <c r="J374" s="1">
        <v>5.8999999999999997E-2</v>
      </c>
      <c r="M374" t="b">
        <f t="shared" si="41"/>
        <v>0</v>
      </c>
      <c r="N374">
        <f t="shared" si="36"/>
        <v>1</v>
      </c>
      <c r="O374">
        <f t="shared" si="37"/>
        <v>0</v>
      </c>
      <c r="P374">
        <f t="shared" si="42"/>
        <v>1</v>
      </c>
      <c r="R374">
        <f t="shared" si="38"/>
        <v>1</v>
      </c>
      <c r="S374">
        <f t="shared" si="39"/>
        <v>12</v>
      </c>
      <c r="T374">
        <f t="shared" si="40"/>
        <v>0</v>
      </c>
    </row>
    <row r="375" spans="1:20" x14ac:dyDescent="0.2">
      <c r="A375" s="1">
        <v>65</v>
      </c>
      <c r="B375" s="1" t="s">
        <v>75</v>
      </c>
      <c r="C375" s="1">
        <v>4</v>
      </c>
      <c r="D375" s="1">
        <v>1</v>
      </c>
      <c r="E375" s="1">
        <v>5229</v>
      </c>
      <c r="F375" s="1">
        <v>3661</v>
      </c>
      <c r="I375" s="1">
        <v>94.558000000000007</v>
      </c>
      <c r="J375" s="1">
        <v>0</v>
      </c>
      <c r="M375" t="b">
        <f t="shared" si="41"/>
        <v>0</v>
      </c>
      <c r="N375">
        <f t="shared" si="36"/>
        <v>1</v>
      </c>
      <c r="O375">
        <f t="shared" si="37"/>
        <v>1</v>
      </c>
      <c r="P375">
        <f t="shared" si="42"/>
        <v>2</v>
      </c>
      <c r="R375">
        <f t="shared" si="38"/>
        <v>2</v>
      </c>
      <c r="S375">
        <f t="shared" si="39"/>
        <v>12</v>
      </c>
      <c r="T375">
        <f t="shared" si="40"/>
        <v>0</v>
      </c>
    </row>
    <row r="376" spans="1:20" x14ac:dyDescent="0.2">
      <c r="A376" s="1">
        <v>65</v>
      </c>
      <c r="B376" s="1" t="s">
        <v>75</v>
      </c>
      <c r="C376" s="1">
        <v>4</v>
      </c>
      <c r="D376" s="1">
        <v>0</v>
      </c>
      <c r="E376" s="1">
        <v>1984</v>
      </c>
      <c r="F376" s="1">
        <v>1397</v>
      </c>
      <c r="I376" s="1">
        <v>47.003999999999998</v>
      </c>
      <c r="J376" s="1">
        <v>4.1440000000000001</v>
      </c>
      <c r="M376" t="b">
        <f t="shared" si="41"/>
        <v>1</v>
      </c>
      <c r="N376">
        <f t="shared" si="36"/>
        <v>1</v>
      </c>
      <c r="O376">
        <f t="shared" si="37"/>
        <v>0</v>
      </c>
      <c r="P376">
        <f t="shared" si="42"/>
        <v>3</v>
      </c>
      <c r="R376">
        <f t="shared" si="38"/>
        <v>3</v>
      </c>
      <c r="S376">
        <f t="shared" si="39"/>
        <v>12</v>
      </c>
      <c r="T376">
        <f t="shared" si="40"/>
        <v>0</v>
      </c>
    </row>
    <row r="377" spans="1:20" x14ac:dyDescent="0.2">
      <c r="A377" s="1">
        <v>65</v>
      </c>
      <c r="B377" s="1" t="s">
        <v>75</v>
      </c>
      <c r="C377" s="1">
        <v>4</v>
      </c>
      <c r="D377" s="1">
        <v>0</v>
      </c>
      <c r="G377" s="1">
        <v>3304</v>
      </c>
      <c r="H377" s="1">
        <v>3771</v>
      </c>
      <c r="I377" s="1">
        <v>94.992999999999995</v>
      </c>
      <c r="K377" s="1">
        <v>-16.161999999999999</v>
      </c>
      <c r="M377" t="b">
        <f t="shared" si="41"/>
        <v>1</v>
      </c>
      <c r="N377">
        <f t="shared" si="36"/>
        <v>0</v>
      </c>
      <c r="O377">
        <f t="shared" si="37"/>
        <v>0</v>
      </c>
      <c r="P377">
        <f t="shared" si="42"/>
        <v>4</v>
      </c>
      <c r="R377">
        <f t="shared" si="38"/>
        <v>4</v>
      </c>
      <c r="S377">
        <f t="shared" si="39"/>
        <v>12</v>
      </c>
      <c r="T377">
        <f t="shared" si="40"/>
        <v>0</v>
      </c>
    </row>
    <row r="378" spans="1:20" x14ac:dyDescent="0.2">
      <c r="A378" s="1">
        <v>65</v>
      </c>
      <c r="B378" s="1" t="s">
        <v>75</v>
      </c>
      <c r="C378" s="1">
        <v>4</v>
      </c>
      <c r="D378" s="1">
        <v>0</v>
      </c>
      <c r="G378" s="1">
        <v>4214</v>
      </c>
      <c r="H378" s="1">
        <v>4849</v>
      </c>
      <c r="I378" s="1">
        <v>76.697000000000003</v>
      </c>
      <c r="K378" s="1">
        <v>0.252</v>
      </c>
      <c r="M378" t="b">
        <f t="shared" si="41"/>
        <v>0</v>
      </c>
      <c r="N378">
        <f t="shared" si="36"/>
        <v>0</v>
      </c>
      <c r="O378">
        <f t="shared" si="37"/>
        <v>0</v>
      </c>
      <c r="P378">
        <f t="shared" si="42"/>
        <v>5</v>
      </c>
      <c r="R378">
        <f t="shared" si="38"/>
        <v>5</v>
      </c>
      <c r="S378">
        <f t="shared" si="39"/>
        <v>12</v>
      </c>
      <c r="T378">
        <f t="shared" si="40"/>
        <v>0</v>
      </c>
    </row>
    <row r="379" spans="1:20" x14ac:dyDescent="0.2">
      <c r="A379" s="1">
        <v>65</v>
      </c>
      <c r="B379" s="1" t="s">
        <v>75</v>
      </c>
      <c r="C379" s="1">
        <v>4</v>
      </c>
      <c r="D379" s="1">
        <v>1</v>
      </c>
      <c r="G379" s="1">
        <v>4212</v>
      </c>
      <c r="H379" s="1">
        <v>4847</v>
      </c>
      <c r="I379" s="1">
        <v>76.888000000000005</v>
      </c>
      <c r="K379" s="1">
        <v>0</v>
      </c>
      <c r="M379" t="b">
        <f t="shared" si="41"/>
        <v>0</v>
      </c>
      <c r="N379">
        <f t="shared" si="36"/>
        <v>0</v>
      </c>
      <c r="O379">
        <f t="shared" si="37"/>
        <v>1</v>
      </c>
      <c r="P379">
        <f t="shared" si="42"/>
        <v>6</v>
      </c>
      <c r="R379">
        <f t="shared" si="38"/>
        <v>6</v>
      </c>
      <c r="S379">
        <f t="shared" si="39"/>
        <v>12</v>
      </c>
      <c r="T379">
        <f t="shared" si="40"/>
        <v>0</v>
      </c>
    </row>
    <row r="380" spans="1:20" x14ac:dyDescent="0.2">
      <c r="A380" s="1">
        <v>66</v>
      </c>
      <c r="B380" s="1" t="s">
        <v>76</v>
      </c>
      <c r="C380" s="1">
        <v>30.573</v>
      </c>
      <c r="D380" s="1">
        <v>0</v>
      </c>
      <c r="E380" s="1">
        <v>5234</v>
      </c>
      <c r="F380" s="1">
        <v>3665</v>
      </c>
      <c r="I380" s="1">
        <v>94.572999999999993</v>
      </c>
      <c r="J380" s="1">
        <v>0.09</v>
      </c>
      <c r="M380" t="b">
        <f t="shared" si="41"/>
        <v>0</v>
      </c>
      <c r="N380">
        <f t="shared" si="36"/>
        <v>1</v>
      </c>
      <c r="O380">
        <f t="shared" si="37"/>
        <v>0</v>
      </c>
      <c r="P380">
        <f t="shared" si="42"/>
        <v>1</v>
      </c>
      <c r="R380">
        <f t="shared" si="38"/>
        <v>1</v>
      </c>
      <c r="S380">
        <f t="shared" si="39"/>
        <v>12</v>
      </c>
      <c r="T380">
        <f t="shared" si="40"/>
        <v>0</v>
      </c>
    </row>
    <row r="381" spans="1:20" x14ac:dyDescent="0.2">
      <c r="A381" s="1">
        <v>66</v>
      </c>
      <c r="B381" s="1" t="s">
        <v>76</v>
      </c>
      <c r="C381" s="1">
        <v>30.573</v>
      </c>
      <c r="D381" s="1">
        <v>1</v>
      </c>
      <c r="E381" s="1">
        <v>5231</v>
      </c>
      <c r="F381" s="1">
        <v>3663</v>
      </c>
      <c r="I381" s="1">
        <v>94.602999999999994</v>
      </c>
      <c r="J381" s="1">
        <v>0</v>
      </c>
      <c r="M381" t="b">
        <f t="shared" si="41"/>
        <v>0</v>
      </c>
      <c r="N381">
        <f t="shared" si="36"/>
        <v>1</v>
      </c>
      <c r="O381">
        <f t="shared" si="37"/>
        <v>1</v>
      </c>
      <c r="P381">
        <f t="shared" si="42"/>
        <v>2</v>
      </c>
      <c r="R381">
        <f t="shared" si="38"/>
        <v>2</v>
      </c>
      <c r="S381">
        <f t="shared" si="39"/>
        <v>12</v>
      </c>
      <c r="T381">
        <f t="shared" si="40"/>
        <v>0</v>
      </c>
    </row>
    <row r="382" spans="1:20" x14ac:dyDescent="0.2">
      <c r="A382" s="1">
        <v>66</v>
      </c>
      <c r="B382" s="1" t="s">
        <v>76</v>
      </c>
      <c r="C382" s="1">
        <v>30.573</v>
      </c>
      <c r="D382" s="1">
        <v>0</v>
      </c>
      <c r="G382" s="1">
        <v>4213</v>
      </c>
      <c r="H382" s="1">
        <v>4849</v>
      </c>
      <c r="I382" s="1">
        <v>76.634</v>
      </c>
      <c r="K382" s="1">
        <v>0.35299999999999998</v>
      </c>
      <c r="M382" t="b">
        <f t="shared" si="41"/>
        <v>0</v>
      </c>
      <c r="N382">
        <f t="shared" si="36"/>
        <v>0</v>
      </c>
      <c r="O382">
        <f t="shared" si="37"/>
        <v>0</v>
      </c>
      <c r="P382">
        <f t="shared" si="42"/>
        <v>5</v>
      </c>
      <c r="R382">
        <f t="shared" si="38"/>
        <v>3</v>
      </c>
      <c r="S382">
        <f t="shared" si="39"/>
        <v>14</v>
      </c>
      <c r="T382">
        <f t="shared" si="40"/>
        <v>0</v>
      </c>
    </row>
    <row r="383" spans="1:20" x14ac:dyDescent="0.2">
      <c r="A383" s="1">
        <v>66</v>
      </c>
      <c r="B383" s="1" t="s">
        <v>76</v>
      </c>
      <c r="C383" s="1">
        <v>30.573</v>
      </c>
      <c r="D383" s="1">
        <v>1</v>
      </c>
      <c r="G383" s="1">
        <v>4212</v>
      </c>
      <c r="H383" s="1">
        <v>4846</v>
      </c>
      <c r="I383" s="1">
        <v>77.001000000000005</v>
      </c>
      <c r="K383" s="1">
        <v>0</v>
      </c>
      <c r="M383" t="b">
        <f t="shared" si="41"/>
        <v>0</v>
      </c>
      <c r="N383">
        <f t="shared" si="36"/>
        <v>0</v>
      </c>
      <c r="O383">
        <f t="shared" si="37"/>
        <v>1</v>
      </c>
      <c r="P383">
        <f t="shared" si="42"/>
        <v>6</v>
      </c>
      <c r="R383">
        <f t="shared" si="38"/>
        <v>4</v>
      </c>
      <c r="S383">
        <f t="shared" si="39"/>
        <v>14</v>
      </c>
      <c r="T383">
        <f t="shared" si="40"/>
        <v>0</v>
      </c>
    </row>
    <row r="384" spans="1:20" x14ac:dyDescent="0.2">
      <c r="A384" s="1">
        <v>67</v>
      </c>
      <c r="B384" s="1" t="s">
        <v>77</v>
      </c>
      <c r="C384" s="1">
        <v>30.466999999999999</v>
      </c>
      <c r="D384" s="1">
        <v>0</v>
      </c>
      <c r="E384" s="1">
        <v>5231</v>
      </c>
      <c r="F384" s="1">
        <v>3663</v>
      </c>
      <c r="I384" s="1">
        <v>94.555000000000007</v>
      </c>
      <c r="J384" s="1">
        <v>0.09</v>
      </c>
      <c r="M384" t="b">
        <f t="shared" si="41"/>
        <v>0</v>
      </c>
      <c r="N384">
        <f t="shared" si="36"/>
        <v>1</v>
      </c>
      <c r="O384">
        <f t="shared" si="37"/>
        <v>0</v>
      </c>
      <c r="P384">
        <f t="shared" si="42"/>
        <v>1</v>
      </c>
      <c r="R384">
        <f t="shared" si="38"/>
        <v>1</v>
      </c>
      <c r="S384">
        <f t="shared" si="39"/>
        <v>14</v>
      </c>
      <c r="T384">
        <f t="shared" si="40"/>
        <v>0</v>
      </c>
    </row>
    <row r="385" spans="1:20" x14ac:dyDescent="0.2">
      <c r="A385" s="1">
        <v>67</v>
      </c>
      <c r="B385" s="1" t="s">
        <v>77</v>
      </c>
      <c r="C385" s="1">
        <v>30.466999999999999</v>
      </c>
      <c r="D385" s="1">
        <v>1</v>
      </c>
      <c r="E385" s="1">
        <v>5227</v>
      </c>
      <c r="F385" s="1">
        <v>3660</v>
      </c>
      <c r="I385" s="1">
        <v>94.575999999999993</v>
      </c>
      <c r="J385" s="1">
        <v>0</v>
      </c>
      <c r="M385" t="b">
        <f t="shared" si="41"/>
        <v>0</v>
      </c>
      <c r="N385">
        <f t="shared" si="36"/>
        <v>1</v>
      </c>
      <c r="O385">
        <f t="shared" si="37"/>
        <v>1</v>
      </c>
      <c r="P385">
        <f t="shared" si="42"/>
        <v>2</v>
      </c>
      <c r="R385">
        <f t="shared" si="38"/>
        <v>2</v>
      </c>
      <c r="S385">
        <f t="shared" si="39"/>
        <v>14</v>
      </c>
      <c r="T385">
        <f t="shared" si="40"/>
        <v>0</v>
      </c>
    </row>
    <row r="386" spans="1:20" x14ac:dyDescent="0.2">
      <c r="A386" s="1">
        <v>67</v>
      </c>
      <c r="B386" s="1" t="s">
        <v>77</v>
      </c>
      <c r="C386" s="1">
        <v>30.466999999999999</v>
      </c>
      <c r="D386" s="1">
        <v>0</v>
      </c>
      <c r="E386" s="1">
        <v>568</v>
      </c>
      <c r="F386" s="1">
        <v>401</v>
      </c>
      <c r="I386" s="1">
        <v>14.718</v>
      </c>
      <c r="J386" s="1">
        <v>7.4889999999999999</v>
      </c>
      <c r="M386" t="b">
        <f t="shared" si="41"/>
        <v>1</v>
      </c>
      <c r="N386">
        <f t="shared" si="36"/>
        <v>1</v>
      </c>
      <c r="O386">
        <f t="shared" si="37"/>
        <v>0</v>
      </c>
      <c r="P386">
        <f t="shared" si="42"/>
        <v>3</v>
      </c>
      <c r="R386">
        <f t="shared" si="38"/>
        <v>3</v>
      </c>
      <c r="S386">
        <f t="shared" si="39"/>
        <v>14</v>
      </c>
      <c r="T386">
        <f t="shared" si="40"/>
        <v>0</v>
      </c>
    </row>
    <row r="387" spans="1:20" x14ac:dyDescent="0.2">
      <c r="A387" s="1">
        <v>67</v>
      </c>
      <c r="B387" s="1" t="s">
        <v>77</v>
      </c>
      <c r="C387" s="1">
        <v>30.466999999999999</v>
      </c>
      <c r="D387" s="1">
        <v>0</v>
      </c>
      <c r="G387" s="1">
        <v>443</v>
      </c>
      <c r="H387" s="1">
        <v>505</v>
      </c>
      <c r="I387" s="1">
        <v>11.483000000000001</v>
      </c>
      <c r="K387" s="1">
        <v>-12.42</v>
      </c>
      <c r="M387" t="b">
        <f t="shared" si="41"/>
        <v>1</v>
      </c>
      <c r="N387">
        <f t="shared" ref="N387:N450" si="43">IF(A387&gt;0,IF(E387&gt;0,1,0),0)</f>
        <v>0</v>
      </c>
      <c r="O387">
        <f t="shared" ref="O387:O450" si="44">D387</f>
        <v>0</v>
      </c>
      <c r="P387">
        <f t="shared" si="42"/>
        <v>4</v>
      </c>
      <c r="R387">
        <f t="shared" ref="R387:R450" si="45">IF(A387&gt;0,IF(A387=A386,R386+1,1),0)</f>
        <v>4</v>
      </c>
      <c r="S387">
        <f t="shared" si="39"/>
        <v>14</v>
      </c>
      <c r="T387">
        <f t="shared" si="40"/>
        <v>0</v>
      </c>
    </row>
    <row r="388" spans="1:20" x14ac:dyDescent="0.2">
      <c r="A388" s="1">
        <v>67</v>
      </c>
      <c r="B388" s="1" t="s">
        <v>77</v>
      </c>
      <c r="C388" s="1">
        <v>30.466999999999999</v>
      </c>
      <c r="D388" s="1">
        <v>0</v>
      </c>
      <c r="G388" s="1">
        <v>4214</v>
      </c>
      <c r="H388" s="1">
        <v>4850</v>
      </c>
      <c r="I388" s="1">
        <v>76.665999999999997</v>
      </c>
      <c r="K388" s="1">
        <v>0.33800000000000002</v>
      </c>
      <c r="M388" t="b">
        <f t="shared" si="41"/>
        <v>0</v>
      </c>
      <c r="N388">
        <f t="shared" si="43"/>
        <v>0</v>
      </c>
      <c r="O388">
        <f t="shared" si="44"/>
        <v>0</v>
      </c>
      <c r="P388">
        <f t="shared" si="42"/>
        <v>5</v>
      </c>
      <c r="R388">
        <f t="shared" si="45"/>
        <v>5</v>
      </c>
      <c r="S388">
        <f t="shared" ref="S388:S451" si="46">IF(A388&gt;0,IF(OR(R388=P388,P388-R388=P387-R387),S387,S387+P388-R388),0)</f>
        <v>14</v>
      </c>
      <c r="T388">
        <f t="shared" ref="T388:T451" si="47">IF(A388&gt;0,IF(AND(P388=6,P387=3,R388=4),T387+1,T387),0)</f>
        <v>0</v>
      </c>
    </row>
    <row r="389" spans="1:20" x14ac:dyDescent="0.2">
      <c r="A389" s="1">
        <v>67</v>
      </c>
      <c r="B389" s="1" t="s">
        <v>77</v>
      </c>
      <c r="C389" s="1">
        <v>30.466999999999999</v>
      </c>
      <c r="D389" s="1">
        <v>1</v>
      </c>
      <c r="G389" s="1">
        <v>4211</v>
      </c>
      <c r="H389" s="1">
        <v>4846</v>
      </c>
      <c r="I389" s="1">
        <v>77.012</v>
      </c>
      <c r="K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0</v>
      </c>
      <c r="O389">
        <f t="shared" si="44"/>
        <v>1</v>
      </c>
      <c r="P389">
        <f t="shared" si="42"/>
        <v>6</v>
      </c>
      <c r="R389">
        <f t="shared" si="45"/>
        <v>6</v>
      </c>
      <c r="S389">
        <f t="shared" si="46"/>
        <v>14</v>
      </c>
      <c r="T389">
        <f t="shared" si="47"/>
        <v>0</v>
      </c>
    </row>
    <row r="390" spans="1:20" x14ac:dyDescent="0.2">
      <c r="A390" s="1">
        <v>68</v>
      </c>
      <c r="B390" s="1" t="s">
        <v>78</v>
      </c>
      <c r="C390" s="1">
        <v>4.0030000000000001</v>
      </c>
      <c r="D390" s="1">
        <v>0</v>
      </c>
      <c r="E390" s="1">
        <v>5232</v>
      </c>
      <c r="F390" s="1">
        <v>3663</v>
      </c>
      <c r="I390" s="1">
        <v>94.658000000000001</v>
      </c>
      <c r="J390" s="1">
        <v>7.2999999999999995E-2</v>
      </c>
      <c r="M390" t="b">
        <f t="shared" si="48"/>
        <v>0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1</v>
      </c>
      <c r="R390">
        <f t="shared" si="45"/>
        <v>1</v>
      </c>
      <c r="S390">
        <f t="shared" si="46"/>
        <v>14</v>
      </c>
      <c r="T390">
        <f t="shared" si="47"/>
        <v>0</v>
      </c>
    </row>
    <row r="391" spans="1:20" x14ac:dyDescent="0.2">
      <c r="A391" s="1">
        <v>68</v>
      </c>
      <c r="B391" s="1" t="s">
        <v>78</v>
      </c>
      <c r="C391" s="1">
        <v>4.0030000000000001</v>
      </c>
      <c r="D391" s="1">
        <v>1</v>
      </c>
      <c r="E391" s="1">
        <v>5233</v>
      </c>
      <c r="F391" s="1">
        <v>3665</v>
      </c>
      <c r="I391" s="1">
        <v>94.593000000000004</v>
      </c>
      <c r="J391" s="1">
        <v>0</v>
      </c>
      <c r="M391" t="b">
        <f t="shared" si="48"/>
        <v>0</v>
      </c>
      <c r="N391">
        <f t="shared" si="43"/>
        <v>1</v>
      </c>
      <c r="O391">
        <f t="shared" si="44"/>
        <v>1</v>
      </c>
      <c r="P391">
        <f t="shared" si="49"/>
        <v>2</v>
      </c>
      <c r="R391">
        <f t="shared" si="45"/>
        <v>2</v>
      </c>
      <c r="S391">
        <f t="shared" si="46"/>
        <v>14</v>
      </c>
      <c r="T391">
        <f t="shared" si="47"/>
        <v>0</v>
      </c>
    </row>
    <row r="392" spans="1:20" x14ac:dyDescent="0.2">
      <c r="A392" s="1">
        <v>68</v>
      </c>
      <c r="B392" s="1" t="s">
        <v>78</v>
      </c>
      <c r="C392" s="1">
        <v>4.0030000000000001</v>
      </c>
      <c r="D392" s="1">
        <v>0</v>
      </c>
      <c r="E392" s="1">
        <v>1993</v>
      </c>
      <c r="F392" s="1">
        <v>1402</v>
      </c>
      <c r="I392" s="1">
        <v>46.491999999999997</v>
      </c>
      <c r="J392" s="1">
        <v>3.4249999999999998</v>
      </c>
      <c r="M392" t="b">
        <f t="shared" si="48"/>
        <v>1</v>
      </c>
      <c r="N392">
        <f t="shared" si="43"/>
        <v>1</v>
      </c>
      <c r="O392">
        <f t="shared" si="44"/>
        <v>0</v>
      </c>
      <c r="P392">
        <f t="shared" si="49"/>
        <v>3</v>
      </c>
      <c r="R392">
        <f t="shared" si="45"/>
        <v>3</v>
      </c>
      <c r="S392">
        <f t="shared" si="46"/>
        <v>14</v>
      </c>
      <c r="T392">
        <f t="shared" si="47"/>
        <v>0</v>
      </c>
    </row>
    <row r="393" spans="1:20" x14ac:dyDescent="0.2">
      <c r="A393" s="1">
        <v>68</v>
      </c>
      <c r="B393" s="1" t="s">
        <v>78</v>
      </c>
      <c r="C393" s="1">
        <v>4.0030000000000001</v>
      </c>
      <c r="D393" s="1">
        <v>0</v>
      </c>
      <c r="G393" s="1">
        <v>3895</v>
      </c>
      <c r="H393" s="1">
        <v>4444</v>
      </c>
      <c r="I393" s="1">
        <v>116.88200000000001</v>
      </c>
      <c r="K393" s="1">
        <v>-17.023</v>
      </c>
      <c r="M393" t="b">
        <f t="shared" si="48"/>
        <v>1</v>
      </c>
      <c r="N393">
        <f t="shared" si="43"/>
        <v>0</v>
      </c>
      <c r="O393">
        <f t="shared" si="44"/>
        <v>0</v>
      </c>
      <c r="P393">
        <f t="shared" si="49"/>
        <v>4</v>
      </c>
      <c r="R393">
        <f t="shared" si="45"/>
        <v>4</v>
      </c>
      <c r="S393">
        <f t="shared" si="46"/>
        <v>14</v>
      </c>
      <c r="T393">
        <f t="shared" si="47"/>
        <v>0</v>
      </c>
    </row>
    <row r="394" spans="1:20" x14ac:dyDescent="0.2">
      <c r="A394" s="1">
        <v>68</v>
      </c>
      <c r="B394" s="1" t="s">
        <v>78</v>
      </c>
      <c r="C394" s="1">
        <v>4.0030000000000001</v>
      </c>
      <c r="D394" s="1">
        <v>0</v>
      </c>
      <c r="G394" s="1">
        <v>4216</v>
      </c>
      <c r="H394" s="1">
        <v>4852</v>
      </c>
      <c r="I394" s="1">
        <v>76.703999999999994</v>
      </c>
      <c r="K394" s="1">
        <v>0.22700000000000001</v>
      </c>
      <c r="M394" t="b">
        <f t="shared" si="48"/>
        <v>0</v>
      </c>
      <c r="N394">
        <f t="shared" si="43"/>
        <v>0</v>
      </c>
      <c r="O394">
        <f t="shared" si="44"/>
        <v>0</v>
      </c>
      <c r="P394">
        <f t="shared" si="49"/>
        <v>5</v>
      </c>
      <c r="R394">
        <f t="shared" si="45"/>
        <v>5</v>
      </c>
      <c r="S394">
        <f t="shared" si="46"/>
        <v>14</v>
      </c>
      <c r="T394">
        <f t="shared" si="47"/>
        <v>0</v>
      </c>
    </row>
    <row r="395" spans="1:20" x14ac:dyDescent="0.2">
      <c r="A395" s="1">
        <v>68</v>
      </c>
      <c r="B395" s="1" t="s">
        <v>78</v>
      </c>
      <c r="C395" s="1">
        <v>4.0030000000000001</v>
      </c>
      <c r="D395" s="1">
        <v>1</v>
      </c>
      <c r="G395" s="1">
        <v>4213</v>
      </c>
      <c r="H395" s="1">
        <v>4848</v>
      </c>
      <c r="I395" s="1">
        <v>76.944999999999993</v>
      </c>
      <c r="K395" s="1">
        <v>0</v>
      </c>
      <c r="M395" t="b">
        <f t="shared" si="48"/>
        <v>0</v>
      </c>
      <c r="N395">
        <f t="shared" si="43"/>
        <v>0</v>
      </c>
      <c r="O395">
        <f t="shared" si="44"/>
        <v>1</v>
      </c>
      <c r="P395">
        <f t="shared" si="49"/>
        <v>6</v>
      </c>
      <c r="R395">
        <f t="shared" si="45"/>
        <v>6</v>
      </c>
      <c r="S395">
        <f t="shared" si="46"/>
        <v>14</v>
      </c>
      <c r="T395">
        <f t="shared" si="47"/>
        <v>0</v>
      </c>
    </row>
    <row r="396" spans="1:20" x14ac:dyDescent="0.2">
      <c r="A396" s="1">
        <v>69</v>
      </c>
      <c r="B396" s="1" t="s">
        <v>79</v>
      </c>
      <c r="C396" s="1">
        <v>4.0019999999999998</v>
      </c>
      <c r="D396" s="1">
        <v>0</v>
      </c>
      <c r="E396" s="1">
        <v>5238</v>
      </c>
      <c r="F396" s="1">
        <v>3668</v>
      </c>
      <c r="I396" s="1">
        <v>94.626000000000005</v>
      </c>
      <c r="J396" s="1">
        <v>8.3000000000000004E-2</v>
      </c>
      <c r="M396" t="b">
        <f t="shared" si="48"/>
        <v>0</v>
      </c>
      <c r="N396">
        <f t="shared" si="43"/>
        <v>1</v>
      </c>
      <c r="O396">
        <f t="shared" si="44"/>
        <v>0</v>
      </c>
      <c r="P396">
        <f t="shared" si="49"/>
        <v>1</v>
      </c>
      <c r="R396">
        <f t="shared" si="45"/>
        <v>1</v>
      </c>
      <c r="S396">
        <f t="shared" si="46"/>
        <v>14</v>
      </c>
      <c r="T396">
        <f t="shared" si="47"/>
        <v>0</v>
      </c>
    </row>
    <row r="397" spans="1:20" x14ac:dyDescent="0.2">
      <c r="A397" s="1">
        <v>69</v>
      </c>
      <c r="B397" s="1" t="s">
        <v>79</v>
      </c>
      <c r="C397" s="1">
        <v>4.0019999999999998</v>
      </c>
      <c r="D397" s="1">
        <v>1</v>
      </c>
      <c r="E397" s="1">
        <v>5231</v>
      </c>
      <c r="F397" s="1">
        <v>3664</v>
      </c>
      <c r="I397" s="1">
        <v>94.623999999999995</v>
      </c>
      <c r="J397" s="1">
        <v>0</v>
      </c>
      <c r="M397" t="b">
        <f t="shared" si="48"/>
        <v>0</v>
      </c>
      <c r="N397">
        <f t="shared" si="43"/>
        <v>1</v>
      </c>
      <c r="O397">
        <f t="shared" si="44"/>
        <v>1</v>
      </c>
      <c r="P397">
        <f t="shared" si="49"/>
        <v>2</v>
      </c>
      <c r="R397">
        <f t="shared" si="45"/>
        <v>2</v>
      </c>
      <c r="S397">
        <f t="shared" si="46"/>
        <v>14</v>
      </c>
      <c r="T397">
        <f t="shared" si="47"/>
        <v>0</v>
      </c>
    </row>
    <row r="398" spans="1:20" x14ac:dyDescent="0.2">
      <c r="A398" s="1">
        <v>69</v>
      </c>
      <c r="B398" s="1" t="s">
        <v>79</v>
      </c>
      <c r="C398" s="1">
        <v>4.0019999999999998</v>
      </c>
      <c r="D398" s="1">
        <v>0</v>
      </c>
      <c r="E398" s="1">
        <v>1240</v>
      </c>
      <c r="F398" s="1">
        <v>874</v>
      </c>
      <c r="I398" s="1">
        <v>30.102</v>
      </c>
      <c r="J398" s="1">
        <v>4.9260000000000002</v>
      </c>
      <c r="M398" t="b">
        <f t="shared" si="48"/>
        <v>1</v>
      </c>
      <c r="N398">
        <f t="shared" si="43"/>
        <v>1</v>
      </c>
      <c r="O398">
        <f t="shared" si="44"/>
        <v>0</v>
      </c>
      <c r="P398">
        <f t="shared" si="49"/>
        <v>3</v>
      </c>
      <c r="R398">
        <f t="shared" si="45"/>
        <v>3</v>
      </c>
      <c r="S398">
        <f t="shared" si="46"/>
        <v>14</v>
      </c>
      <c r="T398">
        <f t="shared" si="47"/>
        <v>0</v>
      </c>
    </row>
    <row r="399" spans="1:20" x14ac:dyDescent="0.2">
      <c r="A399" s="1">
        <v>69</v>
      </c>
      <c r="B399" s="1" t="s">
        <v>79</v>
      </c>
      <c r="C399" s="1">
        <v>4.0019999999999998</v>
      </c>
      <c r="D399" s="1">
        <v>0</v>
      </c>
      <c r="G399" s="1">
        <v>2346</v>
      </c>
      <c r="H399" s="1">
        <v>2673</v>
      </c>
      <c r="I399" s="1">
        <v>64.022000000000006</v>
      </c>
      <c r="K399" s="1">
        <v>-15.695</v>
      </c>
      <c r="M399" t="b">
        <f t="shared" si="48"/>
        <v>1</v>
      </c>
      <c r="N399">
        <f t="shared" si="43"/>
        <v>0</v>
      </c>
      <c r="O399">
        <f t="shared" si="44"/>
        <v>0</v>
      </c>
      <c r="P399">
        <f t="shared" si="49"/>
        <v>4</v>
      </c>
      <c r="R399">
        <f t="shared" si="45"/>
        <v>4</v>
      </c>
      <c r="S399">
        <f t="shared" si="46"/>
        <v>14</v>
      </c>
      <c r="T399">
        <f t="shared" si="47"/>
        <v>0</v>
      </c>
    </row>
    <row r="400" spans="1:20" x14ac:dyDescent="0.2">
      <c r="A400" s="1">
        <v>69</v>
      </c>
      <c r="B400" s="1" t="s">
        <v>79</v>
      </c>
      <c r="C400" s="1">
        <v>4.0019999999999998</v>
      </c>
      <c r="D400" s="1">
        <v>0</v>
      </c>
      <c r="G400" s="1">
        <v>4215</v>
      </c>
      <c r="H400" s="1">
        <v>4851</v>
      </c>
      <c r="I400" s="1">
        <v>76.667000000000002</v>
      </c>
      <c r="K400" s="1">
        <v>0.26500000000000001</v>
      </c>
      <c r="M400" t="b">
        <f t="shared" si="48"/>
        <v>0</v>
      </c>
      <c r="N400">
        <f t="shared" si="43"/>
        <v>0</v>
      </c>
      <c r="O400">
        <f t="shared" si="44"/>
        <v>0</v>
      </c>
      <c r="P400">
        <f t="shared" si="49"/>
        <v>5</v>
      </c>
      <c r="R400">
        <f t="shared" si="45"/>
        <v>5</v>
      </c>
      <c r="S400">
        <f t="shared" si="46"/>
        <v>14</v>
      </c>
      <c r="T400">
        <f t="shared" si="47"/>
        <v>0</v>
      </c>
    </row>
    <row r="401" spans="1:20" x14ac:dyDescent="0.2">
      <c r="A401" s="1">
        <v>69</v>
      </c>
      <c r="B401" s="1" t="s">
        <v>79</v>
      </c>
      <c r="C401" s="1">
        <v>4.0019999999999998</v>
      </c>
      <c r="D401" s="1">
        <v>1</v>
      </c>
      <c r="G401" s="1">
        <v>4212</v>
      </c>
      <c r="H401" s="1">
        <v>4846</v>
      </c>
      <c r="I401" s="1">
        <v>76.963999999999999</v>
      </c>
      <c r="K401" s="1">
        <v>0</v>
      </c>
      <c r="M401" t="b">
        <f t="shared" si="48"/>
        <v>0</v>
      </c>
      <c r="N401">
        <f t="shared" si="43"/>
        <v>0</v>
      </c>
      <c r="O401">
        <f t="shared" si="44"/>
        <v>1</v>
      </c>
      <c r="P401">
        <f t="shared" si="49"/>
        <v>6</v>
      </c>
      <c r="R401">
        <f t="shared" si="45"/>
        <v>6</v>
      </c>
      <c r="S401">
        <f t="shared" si="46"/>
        <v>14</v>
      </c>
      <c r="T401">
        <f t="shared" si="47"/>
        <v>0</v>
      </c>
    </row>
    <row r="402" spans="1:20" x14ac:dyDescent="0.2">
      <c r="A402" s="1">
        <v>70</v>
      </c>
      <c r="B402" s="1" t="s">
        <v>80</v>
      </c>
      <c r="C402" s="1">
        <v>30.152000000000001</v>
      </c>
      <c r="D402" s="1">
        <v>0</v>
      </c>
      <c r="E402" s="1">
        <v>5232</v>
      </c>
      <c r="F402" s="1">
        <v>3664</v>
      </c>
      <c r="I402" s="1">
        <v>94.635999999999996</v>
      </c>
      <c r="J402" s="1">
        <v>6.9000000000000006E-2</v>
      </c>
      <c r="M402" t="b">
        <f t="shared" si="48"/>
        <v>0</v>
      </c>
      <c r="N402">
        <f t="shared" si="43"/>
        <v>1</v>
      </c>
      <c r="O402">
        <f t="shared" si="44"/>
        <v>0</v>
      </c>
      <c r="P402">
        <f t="shared" si="49"/>
        <v>1</v>
      </c>
      <c r="R402">
        <f t="shared" si="45"/>
        <v>1</v>
      </c>
      <c r="S402">
        <f t="shared" si="46"/>
        <v>14</v>
      </c>
      <c r="T402">
        <f t="shared" si="47"/>
        <v>0</v>
      </c>
    </row>
    <row r="403" spans="1:20" x14ac:dyDescent="0.2">
      <c r="A403" s="1">
        <v>70</v>
      </c>
      <c r="B403" s="1" t="s">
        <v>80</v>
      </c>
      <c r="C403" s="1">
        <v>30.152000000000001</v>
      </c>
      <c r="D403" s="1">
        <v>1</v>
      </c>
      <c r="E403" s="1">
        <v>5229</v>
      </c>
      <c r="F403" s="1">
        <v>3662</v>
      </c>
      <c r="I403" s="1">
        <v>94.594999999999999</v>
      </c>
      <c r="J403" s="1">
        <v>0</v>
      </c>
      <c r="M403" t="b">
        <f t="shared" si="48"/>
        <v>0</v>
      </c>
      <c r="N403">
        <f t="shared" si="43"/>
        <v>1</v>
      </c>
      <c r="O403">
        <f t="shared" si="44"/>
        <v>1</v>
      </c>
      <c r="P403">
        <f t="shared" si="49"/>
        <v>2</v>
      </c>
      <c r="R403">
        <f t="shared" si="45"/>
        <v>2</v>
      </c>
      <c r="S403">
        <f t="shared" si="46"/>
        <v>14</v>
      </c>
      <c r="T403">
        <f t="shared" si="47"/>
        <v>0</v>
      </c>
    </row>
    <row r="404" spans="1:20" x14ac:dyDescent="0.2">
      <c r="A404" s="1">
        <v>70</v>
      </c>
      <c r="B404" s="1" t="s">
        <v>80</v>
      </c>
      <c r="C404" s="1">
        <v>30.152000000000001</v>
      </c>
      <c r="D404" s="1">
        <v>0</v>
      </c>
      <c r="E404" s="1">
        <v>565</v>
      </c>
      <c r="F404" s="1">
        <v>399</v>
      </c>
      <c r="I404" s="1">
        <v>14.97</v>
      </c>
      <c r="J404" s="1">
        <v>7.0659999999999998</v>
      </c>
      <c r="M404" t="b">
        <f t="shared" si="48"/>
        <v>1</v>
      </c>
      <c r="N404">
        <f t="shared" si="43"/>
        <v>1</v>
      </c>
      <c r="O404">
        <f t="shared" si="44"/>
        <v>0</v>
      </c>
      <c r="P404">
        <f t="shared" si="49"/>
        <v>3</v>
      </c>
      <c r="R404">
        <f t="shared" si="45"/>
        <v>3</v>
      </c>
      <c r="S404">
        <f t="shared" si="46"/>
        <v>14</v>
      </c>
      <c r="T404">
        <f t="shared" si="47"/>
        <v>0</v>
      </c>
    </row>
    <row r="405" spans="1:20" x14ac:dyDescent="0.2">
      <c r="A405" s="1">
        <v>70</v>
      </c>
      <c r="B405" s="1" t="s">
        <v>80</v>
      </c>
      <c r="C405" s="1">
        <v>30.152000000000001</v>
      </c>
      <c r="D405" s="1">
        <v>0</v>
      </c>
      <c r="G405" s="1">
        <v>423</v>
      </c>
      <c r="H405" s="1">
        <v>481</v>
      </c>
      <c r="I405" s="1">
        <v>10.895</v>
      </c>
      <c r="K405" s="1">
        <v>-12.090999999999999</v>
      </c>
      <c r="M405" t="b">
        <f t="shared" si="48"/>
        <v>1</v>
      </c>
      <c r="N405">
        <f t="shared" si="43"/>
        <v>0</v>
      </c>
      <c r="O405">
        <f t="shared" si="44"/>
        <v>0</v>
      </c>
      <c r="P405">
        <f t="shared" si="49"/>
        <v>4</v>
      </c>
      <c r="R405">
        <f t="shared" si="45"/>
        <v>4</v>
      </c>
      <c r="S405">
        <f t="shared" si="46"/>
        <v>14</v>
      </c>
      <c r="T405">
        <f t="shared" si="47"/>
        <v>0</v>
      </c>
    </row>
    <row r="406" spans="1:20" x14ac:dyDescent="0.2">
      <c r="A406" s="1">
        <v>70</v>
      </c>
      <c r="B406" s="1" t="s">
        <v>80</v>
      </c>
      <c r="C406" s="1">
        <v>30.152000000000001</v>
      </c>
      <c r="D406" s="1">
        <v>0</v>
      </c>
      <c r="G406" s="1">
        <v>4212</v>
      </c>
      <c r="H406" s="1">
        <v>4849</v>
      </c>
      <c r="I406" s="1">
        <v>76.584999999999994</v>
      </c>
      <c r="K406" s="1">
        <v>0.27100000000000002</v>
      </c>
      <c r="M406" t="b">
        <f t="shared" si="48"/>
        <v>0</v>
      </c>
      <c r="N406">
        <f t="shared" si="43"/>
        <v>0</v>
      </c>
      <c r="O406">
        <f t="shared" si="44"/>
        <v>0</v>
      </c>
      <c r="P406">
        <f t="shared" si="49"/>
        <v>5</v>
      </c>
      <c r="R406">
        <f t="shared" si="45"/>
        <v>5</v>
      </c>
      <c r="S406">
        <f t="shared" si="46"/>
        <v>14</v>
      </c>
      <c r="T406">
        <f t="shared" si="47"/>
        <v>0</v>
      </c>
    </row>
    <row r="407" spans="1:20" x14ac:dyDescent="0.2">
      <c r="A407" s="1">
        <v>70</v>
      </c>
      <c r="B407" s="1" t="s">
        <v>80</v>
      </c>
      <c r="C407" s="1">
        <v>30.152000000000001</v>
      </c>
      <c r="D407" s="1">
        <v>1</v>
      </c>
      <c r="G407" s="1">
        <v>4210</v>
      </c>
      <c r="H407" s="1">
        <v>4844</v>
      </c>
      <c r="I407" s="1">
        <v>76.944000000000003</v>
      </c>
      <c r="K407" s="1">
        <v>0</v>
      </c>
      <c r="M407" t="b">
        <f t="shared" si="48"/>
        <v>0</v>
      </c>
      <c r="N407">
        <f t="shared" si="43"/>
        <v>0</v>
      </c>
      <c r="O407">
        <f t="shared" si="44"/>
        <v>1</v>
      </c>
      <c r="P407">
        <f t="shared" si="49"/>
        <v>6</v>
      </c>
      <c r="R407">
        <f t="shared" si="45"/>
        <v>6</v>
      </c>
      <c r="S407">
        <f t="shared" si="46"/>
        <v>14</v>
      </c>
      <c r="T407">
        <f t="shared" si="47"/>
        <v>0</v>
      </c>
    </row>
    <row r="408" spans="1:20" x14ac:dyDescent="0.2">
      <c r="A408" s="1">
        <v>71</v>
      </c>
      <c r="B408" s="1" t="s">
        <v>81</v>
      </c>
      <c r="C408" s="1">
        <v>29.901</v>
      </c>
      <c r="D408" s="1">
        <v>0</v>
      </c>
      <c r="E408" s="1">
        <v>5232</v>
      </c>
      <c r="F408" s="1">
        <v>3664</v>
      </c>
      <c r="I408" s="1">
        <v>94.495000000000005</v>
      </c>
      <c r="J408" s="1">
        <v>9.1999999999999998E-2</v>
      </c>
      <c r="M408" t="b">
        <f t="shared" si="48"/>
        <v>0</v>
      </c>
      <c r="N408">
        <f t="shared" si="43"/>
        <v>1</v>
      </c>
      <c r="O408">
        <f t="shared" si="44"/>
        <v>0</v>
      </c>
      <c r="P408">
        <f t="shared" si="49"/>
        <v>1</v>
      </c>
      <c r="R408">
        <f t="shared" si="45"/>
        <v>1</v>
      </c>
      <c r="S408">
        <f t="shared" si="46"/>
        <v>14</v>
      </c>
      <c r="T408">
        <f t="shared" si="47"/>
        <v>0</v>
      </c>
    </row>
    <row r="409" spans="1:20" x14ac:dyDescent="0.2">
      <c r="A409" s="1">
        <v>71</v>
      </c>
      <c r="B409" s="1" t="s">
        <v>81</v>
      </c>
      <c r="C409" s="1">
        <v>29.901</v>
      </c>
      <c r="D409" s="1">
        <v>1</v>
      </c>
      <c r="E409" s="1">
        <v>5228</v>
      </c>
      <c r="F409" s="1">
        <v>3662</v>
      </c>
      <c r="I409" s="1">
        <v>94.632000000000005</v>
      </c>
      <c r="J409" s="1">
        <v>0</v>
      </c>
      <c r="M409" t="b">
        <f t="shared" si="48"/>
        <v>0</v>
      </c>
      <c r="N409">
        <f t="shared" si="43"/>
        <v>1</v>
      </c>
      <c r="O409">
        <f t="shared" si="44"/>
        <v>1</v>
      </c>
      <c r="P409">
        <f t="shared" si="49"/>
        <v>2</v>
      </c>
      <c r="R409">
        <f t="shared" si="45"/>
        <v>2</v>
      </c>
      <c r="S409">
        <f t="shared" si="46"/>
        <v>14</v>
      </c>
      <c r="T409">
        <f t="shared" si="47"/>
        <v>0</v>
      </c>
    </row>
    <row r="410" spans="1:20" x14ac:dyDescent="0.2">
      <c r="A410" s="1">
        <v>71</v>
      </c>
      <c r="B410" s="1" t="s">
        <v>81</v>
      </c>
      <c r="C410" s="1">
        <v>29.901</v>
      </c>
      <c r="D410" s="1">
        <v>0</v>
      </c>
      <c r="E410" s="1">
        <v>7110</v>
      </c>
      <c r="F410" s="1">
        <v>5005</v>
      </c>
      <c r="I410" s="1">
        <v>147.804</v>
      </c>
      <c r="J410" s="1">
        <v>4.5739999999999998</v>
      </c>
      <c r="M410" t="b">
        <f t="shared" si="48"/>
        <v>1</v>
      </c>
      <c r="N410">
        <f t="shared" si="43"/>
        <v>1</v>
      </c>
      <c r="O410">
        <f t="shared" si="44"/>
        <v>0</v>
      </c>
      <c r="P410">
        <f t="shared" si="49"/>
        <v>3</v>
      </c>
      <c r="R410">
        <f t="shared" si="45"/>
        <v>3</v>
      </c>
      <c r="S410">
        <f t="shared" si="46"/>
        <v>14</v>
      </c>
      <c r="T410">
        <f t="shared" si="47"/>
        <v>0</v>
      </c>
    </row>
    <row r="411" spans="1:20" x14ac:dyDescent="0.2">
      <c r="A411" s="1">
        <v>71</v>
      </c>
      <c r="B411" s="1" t="s">
        <v>81</v>
      </c>
      <c r="C411" s="1">
        <v>29.901</v>
      </c>
      <c r="D411" s="1">
        <v>0</v>
      </c>
      <c r="G411" s="1">
        <v>7074</v>
      </c>
      <c r="H411" s="1">
        <v>8085</v>
      </c>
      <c r="I411" s="1">
        <v>262.48899999999998</v>
      </c>
      <c r="K411" s="1">
        <v>-16.867000000000001</v>
      </c>
      <c r="M411" t="b">
        <f t="shared" si="48"/>
        <v>1</v>
      </c>
      <c r="N411">
        <f t="shared" si="43"/>
        <v>0</v>
      </c>
      <c r="O411">
        <f t="shared" si="44"/>
        <v>0</v>
      </c>
      <c r="P411">
        <f t="shared" si="49"/>
        <v>4</v>
      </c>
      <c r="R411">
        <f t="shared" si="45"/>
        <v>4</v>
      </c>
      <c r="S411">
        <f t="shared" si="46"/>
        <v>14</v>
      </c>
      <c r="T411">
        <f t="shared" si="47"/>
        <v>0</v>
      </c>
    </row>
    <row r="412" spans="1:20" x14ac:dyDescent="0.2">
      <c r="A412" s="1">
        <v>71</v>
      </c>
      <c r="B412" s="1" t="s">
        <v>81</v>
      </c>
      <c r="C412" s="1">
        <v>29.901</v>
      </c>
      <c r="D412" s="1">
        <v>0</v>
      </c>
      <c r="G412" s="1">
        <v>4212</v>
      </c>
      <c r="H412" s="1">
        <v>4847</v>
      </c>
      <c r="I412" s="1">
        <v>76.653999999999996</v>
      </c>
      <c r="K412" s="1">
        <v>0.22500000000000001</v>
      </c>
      <c r="M412" t="b">
        <f t="shared" si="48"/>
        <v>0</v>
      </c>
      <c r="N412">
        <f t="shared" si="43"/>
        <v>0</v>
      </c>
      <c r="O412">
        <f t="shared" si="44"/>
        <v>0</v>
      </c>
      <c r="P412">
        <f t="shared" si="49"/>
        <v>5</v>
      </c>
      <c r="R412">
        <f t="shared" si="45"/>
        <v>5</v>
      </c>
      <c r="S412">
        <f t="shared" si="46"/>
        <v>14</v>
      </c>
      <c r="T412">
        <f t="shared" si="47"/>
        <v>0</v>
      </c>
    </row>
    <row r="413" spans="1:20" x14ac:dyDescent="0.2">
      <c r="A413" s="1">
        <v>71</v>
      </c>
      <c r="B413" s="1" t="s">
        <v>81</v>
      </c>
      <c r="C413" s="1">
        <v>29.901</v>
      </c>
      <c r="D413" s="1">
        <v>1</v>
      </c>
      <c r="G413" s="1">
        <v>4211</v>
      </c>
      <c r="H413" s="1">
        <v>4846</v>
      </c>
      <c r="I413" s="1">
        <v>76.938000000000002</v>
      </c>
      <c r="K413" s="1">
        <v>0</v>
      </c>
      <c r="M413" t="b">
        <f t="shared" si="48"/>
        <v>0</v>
      </c>
      <c r="N413">
        <f t="shared" si="43"/>
        <v>0</v>
      </c>
      <c r="O413">
        <f t="shared" si="44"/>
        <v>1</v>
      </c>
      <c r="P413">
        <f t="shared" si="49"/>
        <v>6</v>
      </c>
      <c r="R413">
        <f t="shared" si="45"/>
        <v>6</v>
      </c>
      <c r="S413">
        <f t="shared" si="46"/>
        <v>14</v>
      </c>
      <c r="T413">
        <f t="shared" si="47"/>
        <v>0</v>
      </c>
    </row>
    <row r="414" spans="1:20" x14ac:dyDescent="0.2">
      <c r="A414" s="1">
        <v>72</v>
      </c>
      <c r="B414" s="1" t="s">
        <v>82</v>
      </c>
      <c r="C414" s="1">
        <v>11.996</v>
      </c>
      <c r="D414" s="1">
        <v>0</v>
      </c>
      <c r="E414" s="1">
        <v>5230</v>
      </c>
      <c r="F414" s="1">
        <v>3663</v>
      </c>
      <c r="I414" s="1">
        <v>94.575000000000003</v>
      </c>
      <c r="J414" s="1">
        <v>5.8999999999999997E-2</v>
      </c>
      <c r="M414" t="b">
        <f t="shared" si="48"/>
        <v>0</v>
      </c>
      <c r="N414">
        <f t="shared" si="43"/>
        <v>1</v>
      </c>
      <c r="O414">
        <f t="shared" si="44"/>
        <v>0</v>
      </c>
      <c r="P414">
        <f t="shared" si="49"/>
        <v>1</v>
      </c>
      <c r="R414">
        <f t="shared" si="45"/>
        <v>1</v>
      </c>
      <c r="S414">
        <f t="shared" si="46"/>
        <v>14</v>
      </c>
      <c r="T414">
        <f t="shared" si="47"/>
        <v>0</v>
      </c>
    </row>
    <row r="415" spans="1:20" x14ac:dyDescent="0.2">
      <c r="A415" s="1">
        <v>72</v>
      </c>
      <c r="B415" s="1" t="s">
        <v>82</v>
      </c>
      <c r="C415" s="1">
        <v>11.996</v>
      </c>
      <c r="D415" s="1">
        <v>1</v>
      </c>
      <c r="E415" s="1">
        <v>5229</v>
      </c>
      <c r="F415" s="1">
        <v>3663</v>
      </c>
      <c r="I415" s="1">
        <v>94.596999999999994</v>
      </c>
      <c r="J415" s="1">
        <v>0</v>
      </c>
      <c r="M415" t="b">
        <f t="shared" si="48"/>
        <v>0</v>
      </c>
      <c r="N415">
        <f t="shared" si="43"/>
        <v>1</v>
      </c>
      <c r="O415">
        <f t="shared" si="44"/>
        <v>1</v>
      </c>
      <c r="P415">
        <f t="shared" si="49"/>
        <v>2</v>
      </c>
      <c r="R415">
        <f t="shared" si="45"/>
        <v>2</v>
      </c>
      <c r="S415">
        <f t="shared" si="46"/>
        <v>14</v>
      </c>
      <c r="T415">
        <f t="shared" si="47"/>
        <v>0</v>
      </c>
    </row>
    <row r="416" spans="1:20" x14ac:dyDescent="0.2">
      <c r="A416" s="1">
        <v>72</v>
      </c>
      <c r="B416" s="1" t="s">
        <v>82</v>
      </c>
      <c r="C416" s="1">
        <v>11.996</v>
      </c>
      <c r="D416" s="1">
        <v>0</v>
      </c>
      <c r="E416" s="1">
        <v>634</v>
      </c>
      <c r="F416" s="1">
        <v>447</v>
      </c>
      <c r="I416" s="1">
        <v>16.088000000000001</v>
      </c>
      <c r="J416" s="1">
        <v>4.9729999999999999</v>
      </c>
      <c r="M416" t="b">
        <f t="shared" si="48"/>
        <v>1</v>
      </c>
      <c r="N416">
        <f t="shared" si="43"/>
        <v>1</v>
      </c>
      <c r="O416">
        <f t="shared" si="44"/>
        <v>0</v>
      </c>
      <c r="P416">
        <f t="shared" si="49"/>
        <v>3</v>
      </c>
      <c r="R416">
        <f t="shared" si="45"/>
        <v>3</v>
      </c>
      <c r="S416">
        <f t="shared" si="46"/>
        <v>14</v>
      </c>
      <c r="T416">
        <f t="shared" si="47"/>
        <v>0</v>
      </c>
    </row>
    <row r="417" spans="1:20" x14ac:dyDescent="0.2">
      <c r="A417" s="1">
        <v>72</v>
      </c>
      <c r="B417" s="1" t="s">
        <v>82</v>
      </c>
      <c r="C417" s="1">
        <v>11.996</v>
      </c>
      <c r="D417" s="1">
        <v>0</v>
      </c>
      <c r="G417" s="1">
        <v>913</v>
      </c>
      <c r="H417" s="1">
        <v>1046</v>
      </c>
      <c r="I417" s="1">
        <v>24.001000000000001</v>
      </c>
      <c r="K417" s="1">
        <v>-7.1849999999999996</v>
      </c>
      <c r="M417" t="b">
        <f t="shared" si="48"/>
        <v>1</v>
      </c>
      <c r="N417">
        <f t="shared" si="43"/>
        <v>0</v>
      </c>
      <c r="O417">
        <f t="shared" si="44"/>
        <v>0</v>
      </c>
      <c r="P417">
        <f t="shared" si="49"/>
        <v>4</v>
      </c>
      <c r="R417">
        <f t="shared" si="45"/>
        <v>4</v>
      </c>
      <c r="S417">
        <f t="shared" si="46"/>
        <v>14</v>
      </c>
      <c r="T417">
        <f t="shared" si="47"/>
        <v>0</v>
      </c>
    </row>
    <row r="418" spans="1:20" x14ac:dyDescent="0.2">
      <c r="A418" s="1">
        <v>72</v>
      </c>
      <c r="B418" s="1" t="s">
        <v>82</v>
      </c>
      <c r="C418" s="1">
        <v>11.996</v>
      </c>
      <c r="D418" s="1">
        <v>0</v>
      </c>
      <c r="G418" s="1">
        <v>4214</v>
      </c>
      <c r="H418" s="1">
        <v>4850</v>
      </c>
      <c r="I418" s="1">
        <v>76.599999999999994</v>
      </c>
      <c r="K418" s="1">
        <v>0.29299999999999998</v>
      </c>
      <c r="M418" t="b">
        <f t="shared" si="48"/>
        <v>0</v>
      </c>
      <c r="N418">
        <f t="shared" si="43"/>
        <v>0</v>
      </c>
      <c r="O418">
        <f t="shared" si="44"/>
        <v>0</v>
      </c>
      <c r="P418">
        <f t="shared" si="49"/>
        <v>5</v>
      </c>
      <c r="R418">
        <f t="shared" si="45"/>
        <v>5</v>
      </c>
      <c r="S418">
        <f t="shared" si="46"/>
        <v>14</v>
      </c>
      <c r="T418">
        <f t="shared" si="47"/>
        <v>0</v>
      </c>
    </row>
    <row r="419" spans="1:20" x14ac:dyDescent="0.2">
      <c r="A419" s="1">
        <v>72</v>
      </c>
      <c r="B419" s="1" t="s">
        <v>82</v>
      </c>
      <c r="C419" s="1">
        <v>11.996</v>
      </c>
      <c r="D419" s="1">
        <v>1</v>
      </c>
      <c r="G419" s="1">
        <v>4209</v>
      </c>
      <c r="H419" s="1">
        <v>4844</v>
      </c>
      <c r="I419" s="1">
        <v>76.811999999999998</v>
      </c>
      <c r="K419" s="1">
        <v>0</v>
      </c>
      <c r="M419" t="b">
        <f t="shared" si="48"/>
        <v>0</v>
      </c>
      <c r="N419">
        <f t="shared" si="43"/>
        <v>0</v>
      </c>
      <c r="O419">
        <f t="shared" si="44"/>
        <v>1</v>
      </c>
      <c r="P419">
        <f t="shared" si="49"/>
        <v>6</v>
      </c>
      <c r="R419">
        <f t="shared" si="45"/>
        <v>6</v>
      </c>
      <c r="S419">
        <f t="shared" si="46"/>
        <v>14</v>
      </c>
      <c r="T419">
        <f t="shared" si="47"/>
        <v>0</v>
      </c>
    </row>
    <row r="420" spans="1:20" x14ac:dyDescent="0.2">
      <c r="A420" s="1">
        <v>73</v>
      </c>
      <c r="B420" s="1" t="s">
        <v>83</v>
      </c>
      <c r="C420" s="1">
        <v>3.9990000000000001</v>
      </c>
      <c r="D420" s="1">
        <v>0</v>
      </c>
      <c r="E420" s="1">
        <v>5225</v>
      </c>
      <c r="F420" s="1">
        <v>3659</v>
      </c>
      <c r="I420" s="1">
        <v>94.483999999999995</v>
      </c>
      <c r="J420" s="1">
        <v>8.7999999999999995E-2</v>
      </c>
      <c r="M420" t="b">
        <f t="shared" si="48"/>
        <v>0</v>
      </c>
      <c r="N420">
        <f t="shared" si="43"/>
        <v>1</v>
      </c>
      <c r="O420">
        <f t="shared" si="44"/>
        <v>0</v>
      </c>
      <c r="P420">
        <f t="shared" si="49"/>
        <v>1</v>
      </c>
      <c r="R420">
        <f t="shared" si="45"/>
        <v>1</v>
      </c>
      <c r="S420">
        <f t="shared" si="46"/>
        <v>14</v>
      </c>
      <c r="T420">
        <f t="shared" si="47"/>
        <v>0</v>
      </c>
    </row>
    <row r="421" spans="1:20" x14ac:dyDescent="0.2">
      <c r="A421" s="1">
        <v>73</v>
      </c>
      <c r="B421" s="1" t="s">
        <v>83</v>
      </c>
      <c r="C421" s="1">
        <v>3.9990000000000001</v>
      </c>
      <c r="D421" s="1">
        <v>1</v>
      </c>
      <c r="E421" s="1">
        <v>5223</v>
      </c>
      <c r="F421" s="1">
        <v>3659</v>
      </c>
      <c r="I421" s="1">
        <v>94.516000000000005</v>
      </c>
      <c r="J421" s="1">
        <v>0</v>
      </c>
      <c r="M421" t="b">
        <f t="shared" si="48"/>
        <v>0</v>
      </c>
      <c r="N421">
        <f t="shared" si="43"/>
        <v>1</v>
      </c>
      <c r="O421">
        <f t="shared" si="44"/>
        <v>1</v>
      </c>
      <c r="P421">
        <f t="shared" si="49"/>
        <v>2</v>
      </c>
      <c r="R421">
        <f t="shared" si="45"/>
        <v>2</v>
      </c>
      <c r="S421">
        <f t="shared" si="46"/>
        <v>14</v>
      </c>
      <c r="T421">
        <f t="shared" si="47"/>
        <v>0</v>
      </c>
    </row>
    <row r="422" spans="1:20" x14ac:dyDescent="0.2">
      <c r="A422" s="1">
        <v>73</v>
      </c>
      <c r="B422" s="1" t="s">
        <v>83</v>
      </c>
      <c r="C422" s="1">
        <v>3.9990000000000001</v>
      </c>
      <c r="D422" s="1">
        <v>0</v>
      </c>
      <c r="E422" s="1">
        <v>1484</v>
      </c>
      <c r="F422" s="1">
        <v>1042</v>
      </c>
      <c r="I422" s="1">
        <v>34.948</v>
      </c>
      <c r="J422" s="1">
        <v>1.3109999999999999</v>
      </c>
      <c r="M422" t="b">
        <f t="shared" si="48"/>
        <v>1</v>
      </c>
      <c r="N422">
        <f t="shared" si="43"/>
        <v>1</v>
      </c>
      <c r="O422">
        <f t="shared" si="44"/>
        <v>0</v>
      </c>
      <c r="P422">
        <f t="shared" si="49"/>
        <v>3</v>
      </c>
      <c r="R422">
        <f t="shared" si="45"/>
        <v>3</v>
      </c>
      <c r="S422">
        <f t="shared" si="46"/>
        <v>14</v>
      </c>
      <c r="T422">
        <f t="shared" si="47"/>
        <v>0</v>
      </c>
    </row>
    <row r="423" spans="1:20" x14ac:dyDescent="0.2">
      <c r="A423" s="1">
        <v>73</v>
      </c>
      <c r="B423" s="1" t="s">
        <v>83</v>
      </c>
      <c r="C423" s="1">
        <v>3.9990000000000001</v>
      </c>
      <c r="D423" s="1">
        <v>0</v>
      </c>
      <c r="G423" s="1">
        <v>3544</v>
      </c>
      <c r="H423" s="1">
        <v>4036</v>
      </c>
      <c r="I423" s="1">
        <v>103.751</v>
      </c>
      <c r="K423" s="1">
        <v>-18.684000000000001</v>
      </c>
      <c r="M423" t="b">
        <f t="shared" si="48"/>
        <v>1</v>
      </c>
      <c r="N423">
        <f t="shared" si="43"/>
        <v>0</v>
      </c>
      <c r="O423">
        <f t="shared" si="44"/>
        <v>0</v>
      </c>
      <c r="P423">
        <f t="shared" si="49"/>
        <v>4</v>
      </c>
      <c r="R423">
        <f t="shared" si="45"/>
        <v>4</v>
      </c>
      <c r="S423">
        <f t="shared" si="46"/>
        <v>14</v>
      </c>
      <c r="T423">
        <f t="shared" si="47"/>
        <v>0</v>
      </c>
    </row>
    <row r="424" spans="1:20" x14ac:dyDescent="0.2">
      <c r="A424" s="1">
        <v>73</v>
      </c>
      <c r="B424" s="1" t="s">
        <v>83</v>
      </c>
      <c r="C424" s="1">
        <v>3.9990000000000001</v>
      </c>
      <c r="D424" s="1">
        <v>0</v>
      </c>
      <c r="G424" s="1">
        <v>4211</v>
      </c>
      <c r="H424" s="1">
        <v>4847</v>
      </c>
      <c r="I424" s="1">
        <v>76.611999999999995</v>
      </c>
      <c r="K424" s="1">
        <v>0.245</v>
      </c>
      <c r="M424" t="b">
        <f t="shared" si="48"/>
        <v>0</v>
      </c>
      <c r="N424">
        <f t="shared" si="43"/>
        <v>0</v>
      </c>
      <c r="O424">
        <f t="shared" si="44"/>
        <v>0</v>
      </c>
      <c r="P424">
        <f t="shared" si="49"/>
        <v>5</v>
      </c>
      <c r="R424">
        <f t="shared" si="45"/>
        <v>5</v>
      </c>
      <c r="S424">
        <f t="shared" si="46"/>
        <v>14</v>
      </c>
      <c r="T424">
        <f t="shared" si="47"/>
        <v>0</v>
      </c>
    </row>
    <row r="425" spans="1:20" x14ac:dyDescent="0.2">
      <c r="A425" s="1">
        <v>73</v>
      </c>
      <c r="B425" s="1" t="s">
        <v>83</v>
      </c>
      <c r="C425" s="1">
        <v>3.9990000000000001</v>
      </c>
      <c r="D425" s="1">
        <v>1</v>
      </c>
      <c r="G425" s="1">
        <v>4207</v>
      </c>
      <c r="H425" s="1">
        <v>4841</v>
      </c>
      <c r="I425" s="1">
        <v>76.787000000000006</v>
      </c>
      <c r="K425" s="1">
        <v>0</v>
      </c>
      <c r="M425" t="b">
        <f t="shared" si="48"/>
        <v>0</v>
      </c>
      <c r="N425">
        <f t="shared" si="43"/>
        <v>0</v>
      </c>
      <c r="O425">
        <f t="shared" si="44"/>
        <v>1</v>
      </c>
      <c r="P425">
        <f t="shared" si="49"/>
        <v>6</v>
      </c>
      <c r="R425">
        <f t="shared" si="45"/>
        <v>6</v>
      </c>
      <c r="S425">
        <f t="shared" si="46"/>
        <v>14</v>
      </c>
      <c r="T425">
        <f t="shared" si="47"/>
        <v>0</v>
      </c>
    </row>
    <row r="426" spans="1:20" x14ac:dyDescent="0.2">
      <c r="A426" s="1">
        <v>74</v>
      </c>
      <c r="B426" s="1" t="s">
        <v>84</v>
      </c>
      <c r="C426" s="1">
        <v>3.9990000000000001</v>
      </c>
      <c r="D426" s="1">
        <v>0</v>
      </c>
      <c r="E426" s="1">
        <v>5226</v>
      </c>
      <c r="F426" s="1">
        <v>3660</v>
      </c>
      <c r="I426" s="1">
        <v>94.722999999999999</v>
      </c>
      <c r="J426" s="1">
        <v>8.2000000000000003E-2</v>
      </c>
      <c r="M426" t="b">
        <f t="shared" si="48"/>
        <v>0</v>
      </c>
      <c r="N426">
        <f t="shared" si="43"/>
        <v>1</v>
      </c>
      <c r="O426">
        <f t="shared" si="44"/>
        <v>0</v>
      </c>
      <c r="P426">
        <f t="shared" si="49"/>
        <v>1</v>
      </c>
      <c r="R426">
        <f t="shared" si="45"/>
        <v>1</v>
      </c>
      <c r="S426">
        <f t="shared" si="46"/>
        <v>14</v>
      </c>
      <c r="T426">
        <f t="shared" si="47"/>
        <v>0</v>
      </c>
    </row>
    <row r="427" spans="1:20" x14ac:dyDescent="0.2">
      <c r="A427" s="1">
        <v>74</v>
      </c>
      <c r="B427" s="1" t="s">
        <v>84</v>
      </c>
      <c r="C427" s="1">
        <v>3.9990000000000001</v>
      </c>
      <c r="D427" s="1">
        <v>1</v>
      </c>
      <c r="E427" s="1">
        <v>5223</v>
      </c>
      <c r="F427" s="1">
        <v>3658</v>
      </c>
      <c r="I427" s="1">
        <v>94.54</v>
      </c>
      <c r="J427" s="1">
        <v>0</v>
      </c>
      <c r="M427" t="b">
        <f t="shared" si="48"/>
        <v>0</v>
      </c>
      <c r="N427">
        <f t="shared" si="43"/>
        <v>1</v>
      </c>
      <c r="O427">
        <f t="shared" si="44"/>
        <v>1</v>
      </c>
      <c r="P427">
        <f t="shared" si="49"/>
        <v>2</v>
      </c>
      <c r="R427">
        <f t="shared" si="45"/>
        <v>2</v>
      </c>
      <c r="S427">
        <f t="shared" si="46"/>
        <v>14</v>
      </c>
      <c r="T427">
        <f t="shared" si="47"/>
        <v>0</v>
      </c>
    </row>
    <row r="428" spans="1:20" x14ac:dyDescent="0.2">
      <c r="A428" s="1">
        <v>74</v>
      </c>
      <c r="B428" s="1" t="s">
        <v>84</v>
      </c>
      <c r="C428" s="1">
        <v>3.9990000000000001</v>
      </c>
      <c r="D428" s="1">
        <v>0</v>
      </c>
      <c r="E428" s="1">
        <v>1289</v>
      </c>
      <c r="F428" s="1">
        <v>906</v>
      </c>
      <c r="I428" s="1">
        <v>29.812000000000001</v>
      </c>
      <c r="J428" s="1">
        <v>2.6960000000000002</v>
      </c>
      <c r="M428" t="b">
        <f t="shared" si="48"/>
        <v>1</v>
      </c>
      <c r="N428">
        <f t="shared" si="43"/>
        <v>1</v>
      </c>
      <c r="O428">
        <f t="shared" si="44"/>
        <v>0</v>
      </c>
      <c r="P428">
        <f t="shared" si="49"/>
        <v>3</v>
      </c>
      <c r="R428">
        <f t="shared" si="45"/>
        <v>3</v>
      </c>
      <c r="S428">
        <f t="shared" si="46"/>
        <v>14</v>
      </c>
      <c r="T428">
        <f t="shared" si="47"/>
        <v>0</v>
      </c>
    </row>
    <row r="429" spans="1:20" x14ac:dyDescent="0.2">
      <c r="A429" s="1">
        <v>74</v>
      </c>
      <c r="B429" s="1" t="s">
        <v>84</v>
      </c>
      <c r="C429" s="1">
        <v>3.9990000000000001</v>
      </c>
      <c r="D429" s="1">
        <v>0</v>
      </c>
      <c r="G429" s="1">
        <v>3900</v>
      </c>
      <c r="H429" s="1">
        <v>4449</v>
      </c>
      <c r="I429" s="1">
        <v>116.386</v>
      </c>
      <c r="K429" s="1">
        <v>-17.766999999999999</v>
      </c>
      <c r="M429" t="b">
        <f t="shared" si="48"/>
        <v>1</v>
      </c>
      <c r="N429">
        <f t="shared" si="43"/>
        <v>0</v>
      </c>
      <c r="O429">
        <f t="shared" si="44"/>
        <v>0</v>
      </c>
      <c r="P429">
        <f t="shared" si="49"/>
        <v>4</v>
      </c>
      <c r="R429">
        <f t="shared" si="45"/>
        <v>4</v>
      </c>
      <c r="S429">
        <f t="shared" si="46"/>
        <v>14</v>
      </c>
      <c r="T429">
        <f t="shared" si="47"/>
        <v>0</v>
      </c>
    </row>
    <row r="430" spans="1:20" x14ac:dyDescent="0.2">
      <c r="A430" s="1">
        <v>74</v>
      </c>
      <c r="B430" s="1" t="s">
        <v>84</v>
      </c>
      <c r="C430" s="1">
        <v>3.9990000000000001</v>
      </c>
      <c r="D430" s="1">
        <v>0</v>
      </c>
      <c r="G430" s="1">
        <v>4210</v>
      </c>
      <c r="H430" s="1">
        <v>4846</v>
      </c>
      <c r="I430" s="1">
        <v>76.497</v>
      </c>
      <c r="K430" s="1">
        <v>0.214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5</v>
      </c>
      <c r="S430">
        <f t="shared" si="46"/>
        <v>14</v>
      </c>
      <c r="T430">
        <f t="shared" si="47"/>
        <v>0</v>
      </c>
    </row>
    <row r="431" spans="1:20" x14ac:dyDescent="0.2">
      <c r="A431" s="1">
        <v>74</v>
      </c>
      <c r="B431" s="1" t="s">
        <v>84</v>
      </c>
      <c r="C431" s="1">
        <v>3.9990000000000001</v>
      </c>
      <c r="D431" s="1">
        <v>1</v>
      </c>
      <c r="G431" s="1">
        <v>4207</v>
      </c>
      <c r="H431" s="1">
        <v>4842</v>
      </c>
      <c r="I431" s="1">
        <v>76.751999999999995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6</v>
      </c>
      <c r="S431">
        <f t="shared" si="46"/>
        <v>14</v>
      </c>
      <c r="T431">
        <f t="shared" si="47"/>
        <v>0</v>
      </c>
    </row>
    <row r="432" spans="1:20" x14ac:dyDescent="0.2">
      <c r="A432" s="1">
        <v>75</v>
      </c>
      <c r="B432" s="1" t="s">
        <v>85</v>
      </c>
      <c r="C432" s="1">
        <v>29.751999999999999</v>
      </c>
      <c r="D432" s="1">
        <v>0</v>
      </c>
      <c r="E432" s="1">
        <v>5224</v>
      </c>
      <c r="F432" s="1">
        <v>3659</v>
      </c>
      <c r="I432" s="1">
        <v>94.478999999999999</v>
      </c>
      <c r="J432" s="1">
        <v>8.8999999999999996E-2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14</v>
      </c>
      <c r="T432">
        <f t="shared" si="47"/>
        <v>0</v>
      </c>
    </row>
    <row r="433" spans="1:20" x14ac:dyDescent="0.2">
      <c r="A433" s="1">
        <v>75</v>
      </c>
      <c r="B433" s="1" t="s">
        <v>85</v>
      </c>
      <c r="C433" s="1">
        <v>29.751999999999999</v>
      </c>
      <c r="D433" s="1">
        <v>1</v>
      </c>
      <c r="E433" s="1">
        <v>5223</v>
      </c>
      <c r="F433" s="1">
        <v>3658</v>
      </c>
      <c r="I433" s="1">
        <v>94.462999999999994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14</v>
      </c>
      <c r="T433">
        <f t="shared" si="47"/>
        <v>0</v>
      </c>
    </row>
    <row r="434" spans="1:20" x14ac:dyDescent="0.2">
      <c r="A434" s="1">
        <v>75</v>
      </c>
      <c r="B434" s="1" t="s">
        <v>85</v>
      </c>
      <c r="C434" s="1">
        <v>29.751999999999999</v>
      </c>
      <c r="D434" s="1">
        <v>0</v>
      </c>
      <c r="E434" s="1">
        <v>562</v>
      </c>
      <c r="F434" s="1">
        <v>397</v>
      </c>
      <c r="I434" s="1">
        <v>14.653</v>
      </c>
      <c r="J434" s="1">
        <v>7.0439999999999996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14</v>
      </c>
      <c r="T434">
        <f t="shared" si="47"/>
        <v>0</v>
      </c>
    </row>
    <row r="435" spans="1:20" x14ac:dyDescent="0.2">
      <c r="A435" s="1">
        <v>75</v>
      </c>
      <c r="B435" s="1" t="s">
        <v>85</v>
      </c>
      <c r="C435" s="1">
        <v>29.751999999999999</v>
      </c>
      <c r="D435" s="1">
        <v>0</v>
      </c>
      <c r="G435" s="1">
        <v>496</v>
      </c>
      <c r="H435" s="1">
        <v>565</v>
      </c>
      <c r="I435" s="1">
        <v>12.878</v>
      </c>
      <c r="K435" s="1">
        <v>-13.180999999999999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14</v>
      </c>
      <c r="T435">
        <f t="shared" si="47"/>
        <v>0</v>
      </c>
    </row>
    <row r="436" spans="1:20" x14ac:dyDescent="0.2">
      <c r="A436" s="1">
        <v>75</v>
      </c>
      <c r="B436" s="1" t="s">
        <v>85</v>
      </c>
      <c r="C436" s="1">
        <v>29.751999999999999</v>
      </c>
      <c r="D436" s="1">
        <v>0</v>
      </c>
      <c r="G436" s="1">
        <v>4205</v>
      </c>
      <c r="H436" s="1">
        <v>4842</v>
      </c>
      <c r="I436" s="1">
        <v>76.524000000000001</v>
      </c>
      <c r="K436" s="1">
        <v>0.29599999999999999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14</v>
      </c>
      <c r="T436">
        <f t="shared" si="47"/>
        <v>0</v>
      </c>
    </row>
    <row r="437" spans="1:20" x14ac:dyDescent="0.2">
      <c r="A437" s="1">
        <v>75</v>
      </c>
      <c r="B437" s="1" t="s">
        <v>85</v>
      </c>
      <c r="C437" s="1">
        <v>29.751999999999999</v>
      </c>
      <c r="D437" s="1">
        <v>1</v>
      </c>
      <c r="G437" s="1">
        <v>4204</v>
      </c>
      <c r="H437" s="1">
        <v>4838</v>
      </c>
      <c r="I437" s="1">
        <v>76.778000000000006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14</v>
      </c>
      <c r="T437">
        <f t="shared" si="47"/>
        <v>0</v>
      </c>
    </row>
    <row r="438" spans="1:20" x14ac:dyDescent="0.2">
      <c r="A438" s="1">
        <v>76</v>
      </c>
      <c r="B438" s="1" t="s">
        <v>86</v>
      </c>
      <c r="C438" s="1">
        <v>29.913</v>
      </c>
      <c r="D438" s="1">
        <v>0</v>
      </c>
      <c r="E438" s="1">
        <v>5220</v>
      </c>
      <c r="F438" s="1">
        <v>3656</v>
      </c>
      <c r="I438" s="1">
        <v>94.396000000000001</v>
      </c>
      <c r="J438" s="1">
        <v>0.111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14</v>
      </c>
      <c r="T438">
        <f t="shared" si="47"/>
        <v>0</v>
      </c>
    </row>
    <row r="439" spans="1:20" x14ac:dyDescent="0.2">
      <c r="A439" s="1">
        <v>76</v>
      </c>
      <c r="B439" s="1" t="s">
        <v>86</v>
      </c>
      <c r="C439" s="1">
        <v>29.913</v>
      </c>
      <c r="D439" s="1">
        <v>1</v>
      </c>
      <c r="E439" s="1">
        <v>5219</v>
      </c>
      <c r="F439" s="1">
        <v>3656</v>
      </c>
      <c r="I439" s="1">
        <v>94.424999999999997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14</v>
      </c>
      <c r="T439">
        <f t="shared" si="47"/>
        <v>0</v>
      </c>
    </row>
    <row r="440" spans="1:20" x14ac:dyDescent="0.2">
      <c r="A440" s="1">
        <v>76</v>
      </c>
      <c r="B440" s="1" t="s">
        <v>86</v>
      </c>
      <c r="C440" s="1">
        <v>29.913</v>
      </c>
      <c r="D440" s="1">
        <v>0</v>
      </c>
      <c r="E440" s="1">
        <v>583</v>
      </c>
      <c r="F440" s="1">
        <v>412</v>
      </c>
      <c r="I440" s="1">
        <v>15.185</v>
      </c>
      <c r="J440" s="1">
        <v>7.8140000000000001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14</v>
      </c>
      <c r="T440">
        <f t="shared" si="47"/>
        <v>0</v>
      </c>
    </row>
    <row r="441" spans="1:20" x14ac:dyDescent="0.2">
      <c r="A441" s="1">
        <v>76</v>
      </c>
      <c r="B441" s="1" t="s">
        <v>86</v>
      </c>
      <c r="C441" s="1">
        <v>29.913</v>
      </c>
      <c r="D441" s="1">
        <v>0</v>
      </c>
      <c r="G441" s="1">
        <v>456</v>
      </c>
      <c r="H441" s="1">
        <v>519</v>
      </c>
      <c r="I441" s="1">
        <v>11.811</v>
      </c>
      <c r="K441" s="1">
        <v>-12.444000000000001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14</v>
      </c>
      <c r="T441">
        <f t="shared" si="47"/>
        <v>0</v>
      </c>
    </row>
    <row r="442" spans="1:20" x14ac:dyDescent="0.2">
      <c r="A442" s="1">
        <v>76</v>
      </c>
      <c r="B442" s="1" t="s">
        <v>86</v>
      </c>
      <c r="C442" s="1">
        <v>29.913</v>
      </c>
      <c r="D442" s="1">
        <v>0</v>
      </c>
      <c r="G442" s="1">
        <v>4205</v>
      </c>
      <c r="H442" s="1">
        <v>4841</v>
      </c>
      <c r="I442" s="1">
        <v>76.453999999999994</v>
      </c>
      <c r="K442" s="1">
        <v>0.30299999999999999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14</v>
      </c>
      <c r="T442">
        <f t="shared" si="47"/>
        <v>0</v>
      </c>
    </row>
    <row r="443" spans="1:20" x14ac:dyDescent="0.2">
      <c r="A443" s="1">
        <v>76</v>
      </c>
      <c r="B443" s="1" t="s">
        <v>86</v>
      </c>
      <c r="C443" s="1">
        <v>29.913</v>
      </c>
      <c r="D443" s="1">
        <v>1</v>
      </c>
      <c r="G443" s="1">
        <v>4204</v>
      </c>
      <c r="H443" s="1">
        <v>4838</v>
      </c>
      <c r="I443" s="1">
        <v>76.786000000000001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14</v>
      </c>
      <c r="T443">
        <f t="shared" si="47"/>
        <v>0</v>
      </c>
    </row>
    <row r="444" spans="1:20" x14ac:dyDescent="0.2">
      <c r="A444" s="1">
        <v>77</v>
      </c>
      <c r="B444" s="1" t="s">
        <v>87</v>
      </c>
      <c r="C444" s="1">
        <v>3.9969999999999999</v>
      </c>
      <c r="D444" s="1">
        <v>0</v>
      </c>
      <c r="E444" s="1">
        <v>5224</v>
      </c>
      <c r="F444" s="1">
        <v>3659</v>
      </c>
      <c r="I444" s="1">
        <v>94.415000000000006</v>
      </c>
      <c r="J444" s="1">
        <v>9.2999999999999999E-2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14</v>
      </c>
      <c r="T444">
        <f t="shared" si="47"/>
        <v>0</v>
      </c>
    </row>
    <row r="445" spans="1:20" x14ac:dyDescent="0.2">
      <c r="A445" s="1">
        <v>77</v>
      </c>
      <c r="B445" s="1" t="s">
        <v>87</v>
      </c>
      <c r="C445" s="1">
        <v>3.9969999999999999</v>
      </c>
      <c r="D445" s="1">
        <v>1</v>
      </c>
      <c r="E445" s="1">
        <v>5222</v>
      </c>
      <c r="F445" s="1">
        <v>3657</v>
      </c>
      <c r="I445" s="1">
        <v>94.463999999999999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14</v>
      </c>
      <c r="T445">
        <f t="shared" si="47"/>
        <v>0</v>
      </c>
    </row>
    <row r="446" spans="1:20" x14ac:dyDescent="0.2">
      <c r="A446" s="1">
        <v>77</v>
      </c>
      <c r="B446" s="1" t="s">
        <v>87</v>
      </c>
      <c r="C446" s="1">
        <v>3.9969999999999999</v>
      </c>
      <c r="D446" s="1">
        <v>0</v>
      </c>
      <c r="E446" s="1">
        <v>1634</v>
      </c>
      <c r="F446" s="1">
        <v>1148</v>
      </c>
      <c r="I446" s="1">
        <v>38.292999999999999</v>
      </c>
      <c r="J446" s="1">
        <v>2.2080000000000002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14</v>
      </c>
      <c r="T446">
        <f t="shared" si="47"/>
        <v>0</v>
      </c>
    </row>
    <row r="447" spans="1:20" x14ac:dyDescent="0.2">
      <c r="A447" s="1">
        <v>77</v>
      </c>
      <c r="B447" s="1" t="s">
        <v>87</v>
      </c>
      <c r="C447" s="1">
        <v>3.9969999999999999</v>
      </c>
      <c r="D447" s="1">
        <v>0</v>
      </c>
      <c r="G447" s="1">
        <v>4016</v>
      </c>
      <c r="H447" s="1">
        <v>4579</v>
      </c>
      <c r="I447" s="1">
        <v>122.508</v>
      </c>
      <c r="K447" s="1">
        <v>-18.120999999999999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14</v>
      </c>
      <c r="T447">
        <f t="shared" si="47"/>
        <v>0</v>
      </c>
    </row>
    <row r="448" spans="1:20" x14ac:dyDescent="0.2">
      <c r="A448" s="1">
        <v>77</v>
      </c>
      <c r="B448" s="1" t="s">
        <v>87</v>
      </c>
      <c r="C448" s="1">
        <v>3.9969999999999999</v>
      </c>
      <c r="D448" s="1">
        <v>0</v>
      </c>
      <c r="G448" s="1">
        <v>4209</v>
      </c>
      <c r="H448" s="1">
        <v>4844</v>
      </c>
      <c r="I448" s="1">
        <v>76.555999999999997</v>
      </c>
      <c r="K448" s="1">
        <v>0.28599999999999998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14</v>
      </c>
      <c r="T448">
        <f t="shared" si="47"/>
        <v>0</v>
      </c>
    </row>
    <row r="449" spans="1:20" x14ac:dyDescent="0.2">
      <c r="A449" s="1">
        <v>77</v>
      </c>
      <c r="B449" s="1" t="s">
        <v>87</v>
      </c>
      <c r="C449" s="1">
        <v>3.9969999999999999</v>
      </c>
      <c r="D449" s="1">
        <v>1</v>
      </c>
      <c r="G449" s="1">
        <v>4206</v>
      </c>
      <c r="H449" s="1">
        <v>4841</v>
      </c>
      <c r="I449" s="1">
        <v>76.817999999999998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14</v>
      </c>
      <c r="T449">
        <f t="shared" si="47"/>
        <v>0</v>
      </c>
    </row>
    <row r="450" spans="1:20" x14ac:dyDescent="0.2">
      <c r="A450" s="1">
        <v>78</v>
      </c>
      <c r="B450" s="1" t="s">
        <v>88</v>
      </c>
      <c r="C450" s="1">
        <v>3.9969999999999999</v>
      </c>
      <c r="D450" s="1">
        <v>0</v>
      </c>
      <c r="E450" s="1">
        <v>5229</v>
      </c>
      <c r="F450" s="1">
        <v>3663</v>
      </c>
      <c r="I450" s="1">
        <v>94.611000000000004</v>
      </c>
      <c r="J450" s="1">
        <v>5.0999999999999997E-2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14</v>
      </c>
      <c r="T450">
        <f t="shared" si="47"/>
        <v>0</v>
      </c>
    </row>
    <row r="451" spans="1:20" x14ac:dyDescent="0.2">
      <c r="A451" s="1">
        <v>78</v>
      </c>
      <c r="B451" s="1" t="s">
        <v>88</v>
      </c>
      <c r="C451" s="1">
        <v>3.9969999999999999</v>
      </c>
      <c r="D451" s="1">
        <v>1</v>
      </c>
      <c r="E451" s="1">
        <v>5225</v>
      </c>
      <c r="F451" s="1">
        <v>3660</v>
      </c>
      <c r="I451" s="1">
        <v>94.58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14</v>
      </c>
      <c r="T451">
        <f t="shared" si="47"/>
        <v>0</v>
      </c>
    </row>
    <row r="452" spans="1:20" x14ac:dyDescent="0.2">
      <c r="A452" s="1">
        <v>78</v>
      </c>
      <c r="B452" s="1" t="s">
        <v>88</v>
      </c>
      <c r="C452" s="1">
        <v>3.9969999999999999</v>
      </c>
      <c r="D452" s="1">
        <v>0</v>
      </c>
      <c r="E452" s="1">
        <v>194</v>
      </c>
      <c r="F452" s="1">
        <v>137</v>
      </c>
      <c r="I452" s="1">
        <v>5</v>
      </c>
      <c r="J452" s="1">
        <v>5.0860000000000003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14</v>
      </c>
      <c r="T452">
        <f t="shared" ref="T452:T515" si="54">IF(A452&gt;0,IF(AND(P452=6,P451=3,R452=4),T451+1,T451),0)</f>
        <v>0</v>
      </c>
    </row>
    <row r="453" spans="1:20" x14ac:dyDescent="0.2">
      <c r="A453" s="1">
        <v>78</v>
      </c>
      <c r="B453" s="1" t="s">
        <v>88</v>
      </c>
      <c r="C453" s="1">
        <v>3.9969999999999999</v>
      </c>
      <c r="D453" s="1">
        <v>0</v>
      </c>
      <c r="G453" s="1">
        <v>339</v>
      </c>
      <c r="H453" s="1">
        <v>385</v>
      </c>
      <c r="I453" s="1">
        <v>8.6929999999999996</v>
      </c>
      <c r="K453" s="1">
        <v>-14.987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14</v>
      </c>
      <c r="T453">
        <f t="shared" si="54"/>
        <v>0</v>
      </c>
    </row>
    <row r="454" spans="1:20" x14ac:dyDescent="0.2">
      <c r="A454" s="1">
        <v>78</v>
      </c>
      <c r="B454" s="1" t="s">
        <v>88</v>
      </c>
      <c r="C454" s="1">
        <v>3.9969999999999999</v>
      </c>
      <c r="D454" s="1">
        <v>0</v>
      </c>
      <c r="G454" s="1">
        <v>4211</v>
      </c>
      <c r="H454" s="1">
        <v>4847</v>
      </c>
      <c r="I454" s="1">
        <v>76.991</v>
      </c>
      <c r="K454" s="1">
        <v>0.29299999999999998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14</v>
      </c>
      <c r="T454">
        <f t="shared" si="54"/>
        <v>0</v>
      </c>
    </row>
    <row r="455" spans="1:20" x14ac:dyDescent="0.2">
      <c r="A455" s="1">
        <v>78</v>
      </c>
      <c r="B455" s="1" t="s">
        <v>88</v>
      </c>
      <c r="C455" s="1">
        <v>3.9969999999999999</v>
      </c>
      <c r="D455" s="1">
        <v>1</v>
      </c>
      <c r="G455" s="1">
        <v>4207</v>
      </c>
      <c r="H455" s="1">
        <v>4842</v>
      </c>
      <c r="I455" s="1">
        <v>76.369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14</v>
      </c>
      <c r="T455">
        <f t="shared" si="54"/>
        <v>0</v>
      </c>
    </row>
    <row r="456" spans="1:20" x14ac:dyDescent="0.2">
      <c r="A456" s="1">
        <v>79</v>
      </c>
      <c r="B456" s="1" t="s">
        <v>89</v>
      </c>
      <c r="C456" s="1">
        <v>30.152000000000001</v>
      </c>
      <c r="D456" s="1">
        <v>0</v>
      </c>
      <c r="E456" s="1">
        <v>5230</v>
      </c>
      <c r="F456" s="1">
        <v>3664</v>
      </c>
      <c r="I456" s="1">
        <v>94.426000000000002</v>
      </c>
      <c r="J456" s="1">
        <v>8.6999999999999994E-2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14</v>
      </c>
      <c r="T456">
        <f t="shared" si="54"/>
        <v>0</v>
      </c>
    </row>
    <row r="457" spans="1:20" x14ac:dyDescent="0.2">
      <c r="A457" s="1">
        <v>79</v>
      </c>
      <c r="B457" s="1" t="s">
        <v>89</v>
      </c>
      <c r="C457" s="1">
        <v>30.152000000000001</v>
      </c>
      <c r="D457" s="1">
        <v>1</v>
      </c>
      <c r="E457" s="1">
        <v>5224</v>
      </c>
      <c r="F457" s="1">
        <v>3659</v>
      </c>
      <c r="I457" s="1">
        <v>94.441999999999993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14</v>
      </c>
      <c r="T457">
        <f t="shared" si="54"/>
        <v>0</v>
      </c>
    </row>
    <row r="458" spans="1:20" x14ac:dyDescent="0.2">
      <c r="A458" s="1">
        <v>79</v>
      </c>
      <c r="B458" s="1" t="s">
        <v>89</v>
      </c>
      <c r="C458" s="1">
        <v>30.152000000000001</v>
      </c>
      <c r="D458" s="1">
        <v>0</v>
      </c>
      <c r="E458" s="1">
        <v>677</v>
      </c>
      <c r="F458" s="1">
        <v>478</v>
      </c>
      <c r="I458" s="1">
        <v>17.683</v>
      </c>
      <c r="J458" s="1">
        <v>7.4379999999999997</v>
      </c>
      <c r="M458" t="b">
        <f t="shared" si="55"/>
        <v>1</v>
      </c>
      <c r="N458">
        <f t="shared" si="50"/>
        <v>1</v>
      </c>
      <c r="O458">
        <f t="shared" si="51"/>
        <v>0</v>
      </c>
      <c r="P458">
        <f t="shared" si="56"/>
        <v>3</v>
      </c>
      <c r="R458">
        <f t="shared" si="52"/>
        <v>3</v>
      </c>
      <c r="S458">
        <f t="shared" si="53"/>
        <v>14</v>
      </c>
      <c r="T458">
        <f t="shared" si="54"/>
        <v>0</v>
      </c>
    </row>
    <row r="459" spans="1:20" x14ac:dyDescent="0.2">
      <c r="A459" s="1">
        <v>79</v>
      </c>
      <c r="B459" s="1" t="s">
        <v>89</v>
      </c>
      <c r="C459" s="1">
        <v>30.152000000000001</v>
      </c>
      <c r="D459" s="1">
        <v>0</v>
      </c>
      <c r="G459" s="1">
        <v>586</v>
      </c>
      <c r="H459" s="1">
        <v>667</v>
      </c>
      <c r="I459" s="1">
        <v>15.226000000000001</v>
      </c>
      <c r="K459" s="1">
        <v>-12.833</v>
      </c>
      <c r="M459" t="b">
        <f t="shared" si="55"/>
        <v>1</v>
      </c>
      <c r="N459">
        <f t="shared" si="50"/>
        <v>0</v>
      </c>
      <c r="O459">
        <f t="shared" si="51"/>
        <v>0</v>
      </c>
      <c r="P459">
        <f t="shared" si="56"/>
        <v>4</v>
      </c>
      <c r="R459">
        <f t="shared" si="52"/>
        <v>4</v>
      </c>
      <c r="S459">
        <f t="shared" si="53"/>
        <v>14</v>
      </c>
      <c r="T459">
        <f t="shared" si="54"/>
        <v>0</v>
      </c>
    </row>
    <row r="460" spans="1:20" x14ac:dyDescent="0.2">
      <c r="A460" s="1">
        <v>79</v>
      </c>
      <c r="B460" s="1" t="s">
        <v>89</v>
      </c>
      <c r="C460" s="1">
        <v>30.152000000000001</v>
      </c>
      <c r="D460" s="1">
        <v>0</v>
      </c>
      <c r="G460" s="1">
        <v>4211</v>
      </c>
      <c r="H460" s="1">
        <v>4848</v>
      </c>
      <c r="I460" s="1">
        <v>76.558000000000007</v>
      </c>
      <c r="K460" s="1">
        <v>0.29599999999999999</v>
      </c>
      <c r="M460" t="b">
        <f t="shared" si="55"/>
        <v>0</v>
      </c>
      <c r="N460">
        <f t="shared" si="50"/>
        <v>0</v>
      </c>
      <c r="O460">
        <f t="shared" si="51"/>
        <v>0</v>
      </c>
      <c r="P460">
        <f t="shared" si="56"/>
        <v>5</v>
      </c>
      <c r="R460">
        <f t="shared" si="52"/>
        <v>5</v>
      </c>
      <c r="S460">
        <f t="shared" si="53"/>
        <v>14</v>
      </c>
      <c r="T460">
        <f t="shared" si="54"/>
        <v>0</v>
      </c>
    </row>
    <row r="461" spans="1:20" x14ac:dyDescent="0.2">
      <c r="A461" s="1">
        <v>79</v>
      </c>
      <c r="B461" s="1" t="s">
        <v>89</v>
      </c>
      <c r="C461" s="1">
        <v>30.152000000000001</v>
      </c>
      <c r="D461" s="1">
        <v>1</v>
      </c>
      <c r="G461" s="1">
        <v>4207</v>
      </c>
      <c r="H461" s="1">
        <v>4842</v>
      </c>
      <c r="I461" s="1">
        <v>76.837999999999994</v>
      </c>
      <c r="K461" s="1">
        <v>0</v>
      </c>
      <c r="M461" t="b">
        <f t="shared" si="55"/>
        <v>0</v>
      </c>
      <c r="N461">
        <f t="shared" si="50"/>
        <v>0</v>
      </c>
      <c r="O461">
        <f t="shared" si="51"/>
        <v>1</v>
      </c>
      <c r="P461">
        <f t="shared" si="56"/>
        <v>6</v>
      </c>
      <c r="R461">
        <f t="shared" si="52"/>
        <v>6</v>
      </c>
      <c r="S461">
        <f t="shared" si="53"/>
        <v>14</v>
      </c>
      <c r="T461">
        <f t="shared" si="54"/>
        <v>0</v>
      </c>
    </row>
    <row r="462" spans="1:20" x14ac:dyDescent="0.2">
      <c r="A462" s="1">
        <v>80</v>
      </c>
      <c r="B462" s="1" t="s">
        <v>90</v>
      </c>
      <c r="C462" s="1">
        <v>30.016999999999999</v>
      </c>
      <c r="D462" s="1">
        <v>0</v>
      </c>
      <c r="E462" s="1">
        <v>5232</v>
      </c>
      <c r="F462" s="1">
        <v>3666</v>
      </c>
      <c r="I462" s="1">
        <v>94.619</v>
      </c>
      <c r="J462" s="1">
        <v>7.8E-2</v>
      </c>
      <c r="M462" t="b">
        <f t="shared" si="55"/>
        <v>0</v>
      </c>
      <c r="N462">
        <f t="shared" si="50"/>
        <v>1</v>
      </c>
      <c r="O462">
        <f t="shared" si="51"/>
        <v>0</v>
      </c>
      <c r="P462">
        <f t="shared" si="56"/>
        <v>1</v>
      </c>
      <c r="R462">
        <f t="shared" si="52"/>
        <v>1</v>
      </c>
      <c r="S462">
        <f t="shared" si="53"/>
        <v>14</v>
      </c>
      <c r="T462">
        <f t="shared" si="54"/>
        <v>0</v>
      </c>
    </row>
    <row r="463" spans="1:20" x14ac:dyDescent="0.2">
      <c r="A463" s="1">
        <v>80</v>
      </c>
      <c r="B463" s="1" t="s">
        <v>90</v>
      </c>
      <c r="C463" s="1">
        <v>30.016999999999999</v>
      </c>
      <c r="D463" s="1">
        <v>1</v>
      </c>
      <c r="E463" s="1">
        <v>5227</v>
      </c>
      <c r="F463" s="1">
        <v>3661</v>
      </c>
      <c r="I463" s="1">
        <v>94.531999999999996</v>
      </c>
      <c r="J463" s="1">
        <v>0</v>
      </c>
      <c r="M463" t="b">
        <f t="shared" si="55"/>
        <v>0</v>
      </c>
      <c r="N463">
        <f t="shared" si="50"/>
        <v>1</v>
      </c>
      <c r="O463">
        <f t="shared" si="51"/>
        <v>1</v>
      </c>
      <c r="P463">
        <f t="shared" si="56"/>
        <v>2</v>
      </c>
      <c r="R463">
        <f t="shared" si="52"/>
        <v>2</v>
      </c>
      <c r="S463">
        <f t="shared" si="53"/>
        <v>14</v>
      </c>
      <c r="T463">
        <f t="shared" si="54"/>
        <v>0</v>
      </c>
    </row>
    <row r="464" spans="1:20" x14ac:dyDescent="0.2">
      <c r="A464" s="1">
        <v>80</v>
      </c>
      <c r="B464" s="1" t="s">
        <v>90</v>
      </c>
      <c r="C464" s="1">
        <v>30.016999999999999</v>
      </c>
      <c r="D464" s="1">
        <v>0</v>
      </c>
      <c r="E464" s="1">
        <v>526</v>
      </c>
      <c r="F464" s="1">
        <v>371</v>
      </c>
      <c r="I464" s="1">
        <v>13.621</v>
      </c>
      <c r="J464" s="1">
        <v>6.9690000000000003</v>
      </c>
      <c r="M464" t="b">
        <f t="shared" si="55"/>
        <v>1</v>
      </c>
      <c r="N464">
        <f t="shared" si="50"/>
        <v>1</v>
      </c>
      <c r="O464">
        <f t="shared" si="51"/>
        <v>0</v>
      </c>
      <c r="P464">
        <f t="shared" si="56"/>
        <v>3</v>
      </c>
      <c r="R464">
        <f t="shared" si="52"/>
        <v>3</v>
      </c>
      <c r="S464">
        <f t="shared" si="53"/>
        <v>14</v>
      </c>
      <c r="T464">
        <f t="shared" si="54"/>
        <v>0</v>
      </c>
    </row>
    <row r="465" spans="1:20" x14ac:dyDescent="0.2">
      <c r="A465" s="1">
        <v>80</v>
      </c>
      <c r="B465" s="1" t="s">
        <v>90</v>
      </c>
      <c r="C465" s="1">
        <v>30.016999999999999</v>
      </c>
      <c r="D465" s="1">
        <v>0</v>
      </c>
      <c r="G465" s="1">
        <v>477</v>
      </c>
      <c r="H465" s="1">
        <v>542</v>
      </c>
      <c r="I465" s="1">
        <v>12.348000000000001</v>
      </c>
      <c r="K465" s="1">
        <v>-13.329000000000001</v>
      </c>
      <c r="M465" t="b">
        <f t="shared" si="55"/>
        <v>1</v>
      </c>
      <c r="N465">
        <f t="shared" si="50"/>
        <v>0</v>
      </c>
      <c r="O465">
        <f t="shared" si="51"/>
        <v>0</v>
      </c>
      <c r="P465">
        <f t="shared" si="56"/>
        <v>4</v>
      </c>
      <c r="R465">
        <f t="shared" si="52"/>
        <v>4</v>
      </c>
      <c r="S465">
        <f t="shared" si="53"/>
        <v>14</v>
      </c>
      <c r="T465">
        <f t="shared" si="54"/>
        <v>0</v>
      </c>
    </row>
    <row r="466" spans="1:20" x14ac:dyDescent="0.2">
      <c r="A466" s="1">
        <v>80</v>
      </c>
      <c r="B466" s="1" t="s">
        <v>90</v>
      </c>
      <c r="C466" s="1">
        <v>30.016999999999999</v>
      </c>
      <c r="D466" s="1">
        <v>0</v>
      </c>
      <c r="G466" s="1">
        <v>4210</v>
      </c>
      <c r="H466" s="1">
        <v>4847</v>
      </c>
      <c r="I466" s="1">
        <v>76.569999999999993</v>
      </c>
      <c r="K466" s="1">
        <v>0.309</v>
      </c>
      <c r="M466" t="b">
        <f t="shared" si="55"/>
        <v>0</v>
      </c>
      <c r="N466">
        <f t="shared" si="50"/>
        <v>0</v>
      </c>
      <c r="O466">
        <f t="shared" si="51"/>
        <v>0</v>
      </c>
      <c r="P466">
        <f t="shared" si="56"/>
        <v>5</v>
      </c>
      <c r="R466">
        <f t="shared" si="52"/>
        <v>5</v>
      </c>
      <c r="S466">
        <f t="shared" si="53"/>
        <v>14</v>
      </c>
      <c r="T466">
        <f t="shared" si="54"/>
        <v>0</v>
      </c>
    </row>
    <row r="467" spans="1:20" x14ac:dyDescent="0.2">
      <c r="A467" s="1">
        <v>80</v>
      </c>
      <c r="B467" s="1" t="s">
        <v>90</v>
      </c>
      <c r="C467" s="1">
        <v>30.016999999999999</v>
      </c>
      <c r="D467" s="1">
        <v>1</v>
      </c>
      <c r="G467" s="1">
        <v>4205</v>
      </c>
      <c r="H467" s="1">
        <v>4840</v>
      </c>
      <c r="I467" s="1">
        <v>76.846999999999994</v>
      </c>
      <c r="K467" s="1">
        <v>0</v>
      </c>
      <c r="M467" t="b">
        <f t="shared" si="55"/>
        <v>0</v>
      </c>
      <c r="N467">
        <f t="shared" si="50"/>
        <v>0</v>
      </c>
      <c r="O467">
        <f t="shared" si="51"/>
        <v>1</v>
      </c>
      <c r="P467">
        <f t="shared" si="56"/>
        <v>6</v>
      </c>
      <c r="R467">
        <f t="shared" si="52"/>
        <v>6</v>
      </c>
      <c r="S467">
        <f t="shared" si="53"/>
        <v>14</v>
      </c>
      <c r="T467">
        <f t="shared" si="54"/>
        <v>0</v>
      </c>
    </row>
    <row r="468" spans="1:20" x14ac:dyDescent="0.2">
      <c r="A468" s="1">
        <v>81</v>
      </c>
      <c r="B468" s="1" t="s">
        <v>91</v>
      </c>
      <c r="C468" s="1">
        <v>3.9990000000000001</v>
      </c>
      <c r="D468" s="1">
        <v>0</v>
      </c>
      <c r="E468" s="1">
        <v>5228</v>
      </c>
      <c r="F468" s="1">
        <v>3662</v>
      </c>
      <c r="I468" s="1">
        <v>94.528999999999996</v>
      </c>
      <c r="J468" s="1">
        <v>9.9000000000000005E-2</v>
      </c>
      <c r="M468" t="b">
        <f t="shared" si="55"/>
        <v>0</v>
      </c>
      <c r="N468">
        <f t="shared" si="50"/>
        <v>1</v>
      </c>
      <c r="O468">
        <f t="shared" si="51"/>
        <v>0</v>
      </c>
      <c r="P468">
        <f t="shared" si="56"/>
        <v>1</v>
      </c>
      <c r="R468">
        <f t="shared" si="52"/>
        <v>1</v>
      </c>
      <c r="S468">
        <f t="shared" si="53"/>
        <v>14</v>
      </c>
      <c r="T468">
        <f t="shared" si="54"/>
        <v>0</v>
      </c>
    </row>
    <row r="469" spans="1:20" x14ac:dyDescent="0.2">
      <c r="A469" s="1">
        <v>81</v>
      </c>
      <c r="B469" s="1" t="s">
        <v>91</v>
      </c>
      <c r="C469" s="1">
        <v>3.9990000000000001</v>
      </c>
      <c r="D469" s="1">
        <v>1</v>
      </c>
      <c r="E469" s="1">
        <v>5226</v>
      </c>
      <c r="F469" s="1">
        <v>3661</v>
      </c>
      <c r="I469" s="1">
        <v>94.742999999999995</v>
      </c>
      <c r="J469" s="1">
        <v>0</v>
      </c>
      <c r="M469" t="b">
        <f t="shared" si="55"/>
        <v>0</v>
      </c>
      <c r="N469">
        <f t="shared" si="50"/>
        <v>1</v>
      </c>
      <c r="O469">
        <f t="shared" si="51"/>
        <v>1</v>
      </c>
      <c r="P469">
        <f t="shared" si="56"/>
        <v>2</v>
      </c>
      <c r="R469">
        <f t="shared" si="52"/>
        <v>2</v>
      </c>
      <c r="S469">
        <f t="shared" si="53"/>
        <v>14</v>
      </c>
      <c r="T469">
        <f t="shared" si="54"/>
        <v>0</v>
      </c>
    </row>
    <row r="470" spans="1:20" x14ac:dyDescent="0.2">
      <c r="A470" s="1">
        <v>81</v>
      </c>
      <c r="B470" s="1" t="s">
        <v>91</v>
      </c>
      <c r="C470" s="1">
        <v>3.9990000000000001</v>
      </c>
      <c r="D470" s="1">
        <v>0</v>
      </c>
      <c r="E470" s="1">
        <v>1417</v>
      </c>
      <c r="F470" s="1">
        <v>996</v>
      </c>
      <c r="I470" s="1">
        <v>33.688000000000002</v>
      </c>
      <c r="J470" s="1">
        <v>2.996</v>
      </c>
      <c r="M470" t="b">
        <f t="shared" si="55"/>
        <v>1</v>
      </c>
      <c r="N470">
        <f t="shared" si="50"/>
        <v>1</v>
      </c>
      <c r="O470">
        <f t="shared" si="51"/>
        <v>0</v>
      </c>
      <c r="P470">
        <f t="shared" si="56"/>
        <v>3</v>
      </c>
      <c r="R470">
        <f t="shared" si="52"/>
        <v>3</v>
      </c>
      <c r="S470">
        <f t="shared" si="53"/>
        <v>14</v>
      </c>
      <c r="T470">
        <f t="shared" si="54"/>
        <v>0</v>
      </c>
    </row>
    <row r="471" spans="1:20" x14ac:dyDescent="0.2">
      <c r="A471" s="1">
        <v>81</v>
      </c>
      <c r="B471" s="1" t="s">
        <v>91</v>
      </c>
      <c r="C471" s="1">
        <v>3.9990000000000001</v>
      </c>
      <c r="D471" s="1">
        <v>0</v>
      </c>
      <c r="G471" s="1">
        <v>3139</v>
      </c>
      <c r="H471" s="1">
        <v>3582</v>
      </c>
      <c r="I471" s="1">
        <v>89.257999999999996</v>
      </c>
      <c r="K471" s="1">
        <v>-16.234000000000002</v>
      </c>
      <c r="M471" t="b">
        <f t="shared" si="55"/>
        <v>1</v>
      </c>
      <c r="N471">
        <f t="shared" si="50"/>
        <v>0</v>
      </c>
      <c r="O471">
        <f t="shared" si="51"/>
        <v>0</v>
      </c>
      <c r="P471">
        <f t="shared" si="56"/>
        <v>4</v>
      </c>
      <c r="R471">
        <f t="shared" si="52"/>
        <v>4</v>
      </c>
      <c r="S471">
        <f t="shared" si="53"/>
        <v>14</v>
      </c>
      <c r="T471">
        <f t="shared" si="54"/>
        <v>0</v>
      </c>
    </row>
    <row r="472" spans="1:20" x14ac:dyDescent="0.2">
      <c r="A472" s="1">
        <v>81</v>
      </c>
      <c r="B472" s="1" t="s">
        <v>91</v>
      </c>
      <c r="C472" s="1">
        <v>3.9990000000000001</v>
      </c>
      <c r="D472" s="1">
        <v>0</v>
      </c>
      <c r="G472" s="1">
        <v>4208</v>
      </c>
      <c r="H472" s="1">
        <v>4845</v>
      </c>
      <c r="I472" s="1">
        <v>76.478999999999999</v>
      </c>
      <c r="K472" s="1">
        <v>0.255</v>
      </c>
      <c r="M472" t="b">
        <f t="shared" si="55"/>
        <v>0</v>
      </c>
      <c r="N472">
        <f t="shared" si="50"/>
        <v>0</v>
      </c>
      <c r="O472">
        <f t="shared" si="51"/>
        <v>0</v>
      </c>
      <c r="P472">
        <f t="shared" si="56"/>
        <v>5</v>
      </c>
      <c r="R472">
        <f t="shared" si="52"/>
        <v>5</v>
      </c>
      <c r="S472">
        <f t="shared" si="53"/>
        <v>14</v>
      </c>
      <c r="T472">
        <f t="shared" si="54"/>
        <v>0</v>
      </c>
    </row>
    <row r="473" spans="1:20" x14ac:dyDescent="0.2">
      <c r="A473" s="1">
        <v>81</v>
      </c>
      <c r="B473" s="1" t="s">
        <v>91</v>
      </c>
      <c r="C473" s="1">
        <v>3.9990000000000001</v>
      </c>
      <c r="D473" s="1">
        <v>1</v>
      </c>
      <c r="G473" s="1">
        <v>4205</v>
      </c>
      <c r="H473" s="1">
        <v>4840</v>
      </c>
      <c r="I473" s="1">
        <v>76.757999999999996</v>
      </c>
      <c r="K473" s="1">
        <v>0</v>
      </c>
      <c r="M473" t="b">
        <f t="shared" si="55"/>
        <v>0</v>
      </c>
      <c r="N473">
        <f t="shared" si="50"/>
        <v>0</v>
      </c>
      <c r="O473">
        <f t="shared" si="51"/>
        <v>1</v>
      </c>
      <c r="P473">
        <f t="shared" si="56"/>
        <v>6</v>
      </c>
      <c r="R473">
        <f t="shared" si="52"/>
        <v>6</v>
      </c>
      <c r="S473">
        <f t="shared" si="53"/>
        <v>14</v>
      </c>
      <c r="T473">
        <f t="shared" si="54"/>
        <v>0</v>
      </c>
    </row>
    <row r="474" spans="1:20" x14ac:dyDescent="0.2">
      <c r="A474" s="1">
        <v>82</v>
      </c>
      <c r="B474" s="1" t="s">
        <v>92</v>
      </c>
      <c r="C474" s="1">
        <v>3.9969999999999999</v>
      </c>
      <c r="D474" s="1">
        <v>0</v>
      </c>
      <c r="E474" s="1">
        <v>5226</v>
      </c>
      <c r="F474" s="1">
        <v>3661</v>
      </c>
      <c r="I474" s="1">
        <v>94.501000000000005</v>
      </c>
      <c r="J474" s="1">
        <v>6.6000000000000003E-2</v>
      </c>
      <c r="M474" t="b">
        <f t="shared" si="55"/>
        <v>0</v>
      </c>
      <c r="N474">
        <f t="shared" si="50"/>
        <v>1</v>
      </c>
      <c r="O474">
        <f t="shared" si="51"/>
        <v>0</v>
      </c>
      <c r="P474">
        <f t="shared" si="56"/>
        <v>1</v>
      </c>
      <c r="R474">
        <f t="shared" si="52"/>
        <v>1</v>
      </c>
      <c r="S474">
        <f t="shared" si="53"/>
        <v>14</v>
      </c>
      <c r="T474">
        <f t="shared" si="54"/>
        <v>0</v>
      </c>
    </row>
    <row r="475" spans="1:20" x14ac:dyDescent="0.2">
      <c r="A475" s="1">
        <v>82</v>
      </c>
      <c r="B475" s="1" t="s">
        <v>92</v>
      </c>
      <c r="C475" s="1">
        <v>3.9969999999999999</v>
      </c>
      <c r="D475" s="1">
        <v>1</v>
      </c>
      <c r="E475" s="1">
        <v>5222</v>
      </c>
      <c r="F475" s="1">
        <v>3658</v>
      </c>
      <c r="I475" s="1">
        <v>94.501000000000005</v>
      </c>
      <c r="J475" s="1">
        <v>0</v>
      </c>
      <c r="M475" t="b">
        <f t="shared" si="55"/>
        <v>0</v>
      </c>
      <c r="N475">
        <f t="shared" si="50"/>
        <v>1</v>
      </c>
      <c r="O475">
        <f t="shared" si="51"/>
        <v>1</v>
      </c>
      <c r="P475">
        <f t="shared" si="56"/>
        <v>2</v>
      </c>
      <c r="R475">
        <f t="shared" si="52"/>
        <v>2</v>
      </c>
      <c r="S475">
        <f t="shared" si="53"/>
        <v>14</v>
      </c>
      <c r="T475">
        <f t="shared" si="54"/>
        <v>0</v>
      </c>
    </row>
    <row r="476" spans="1:20" x14ac:dyDescent="0.2">
      <c r="A476" s="1">
        <v>82</v>
      </c>
      <c r="B476" s="1" t="s">
        <v>92</v>
      </c>
      <c r="C476" s="1">
        <v>3.9969999999999999</v>
      </c>
      <c r="D476" s="1">
        <v>0</v>
      </c>
      <c r="E476" s="1">
        <v>542</v>
      </c>
      <c r="F476" s="1">
        <v>382</v>
      </c>
      <c r="I476" s="1">
        <v>13.746</v>
      </c>
      <c r="J476" s="1">
        <v>5.2430000000000003</v>
      </c>
      <c r="M476" t="b">
        <f t="shared" si="55"/>
        <v>1</v>
      </c>
      <c r="N476">
        <f t="shared" si="50"/>
        <v>1</v>
      </c>
      <c r="O476">
        <f t="shared" si="51"/>
        <v>0</v>
      </c>
      <c r="P476">
        <f t="shared" si="56"/>
        <v>3</v>
      </c>
      <c r="R476">
        <f t="shared" si="52"/>
        <v>3</v>
      </c>
      <c r="S476">
        <f t="shared" si="53"/>
        <v>14</v>
      </c>
      <c r="T476">
        <f t="shared" si="54"/>
        <v>0</v>
      </c>
    </row>
    <row r="477" spans="1:20" x14ac:dyDescent="0.2">
      <c r="A477" s="1">
        <v>82</v>
      </c>
      <c r="B477" s="1" t="s">
        <v>92</v>
      </c>
      <c r="C477" s="1">
        <v>3.9969999999999999</v>
      </c>
      <c r="D477" s="1">
        <v>0</v>
      </c>
      <c r="G477" s="1">
        <v>830</v>
      </c>
      <c r="H477" s="1">
        <v>944</v>
      </c>
      <c r="I477" s="1">
        <v>21.617000000000001</v>
      </c>
      <c r="K477" s="1">
        <v>-15.239000000000001</v>
      </c>
      <c r="M477" t="b">
        <f t="shared" si="55"/>
        <v>1</v>
      </c>
      <c r="N477">
        <f t="shared" si="50"/>
        <v>0</v>
      </c>
      <c r="O477">
        <f t="shared" si="51"/>
        <v>0</v>
      </c>
      <c r="P477">
        <f t="shared" si="56"/>
        <v>4</v>
      </c>
      <c r="R477">
        <f t="shared" si="52"/>
        <v>4</v>
      </c>
      <c r="S477">
        <f t="shared" si="53"/>
        <v>14</v>
      </c>
      <c r="T477">
        <f t="shared" si="54"/>
        <v>0</v>
      </c>
    </row>
    <row r="478" spans="1:20" x14ac:dyDescent="0.2">
      <c r="A478" s="1">
        <v>82</v>
      </c>
      <c r="B478" s="1" t="s">
        <v>92</v>
      </c>
      <c r="C478" s="1">
        <v>3.9969999999999999</v>
      </c>
      <c r="D478" s="1">
        <v>0</v>
      </c>
      <c r="G478" s="1">
        <v>4209</v>
      </c>
      <c r="H478" s="1">
        <v>4846</v>
      </c>
      <c r="I478" s="1">
        <v>76.587000000000003</v>
      </c>
      <c r="K478" s="1">
        <v>0.29399999999999998</v>
      </c>
      <c r="M478" t="b">
        <f t="shared" si="55"/>
        <v>0</v>
      </c>
      <c r="N478">
        <f t="shared" si="50"/>
        <v>0</v>
      </c>
      <c r="O478">
        <f t="shared" si="51"/>
        <v>0</v>
      </c>
      <c r="P478">
        <f t="shared" si="56"/>
        <v>5</v>
      </c>
      <c r="R478">
        <f t="shared" si="52"/>
        <v>5</v>
      </c>
      <c r="S478">
        <f t="shared" si="53"/>
        <v>14</v>
      </c>
      <c r="T478">
        <f t="shared" si="54"/>
        <v>0</v>
      </c>
    </row>
    <row r="479" spans="1:20" x14ac:dyDescent="0.2">
      <c r="A479" s="1">
        <v>82</v>
      </c>
      <c r="B479" s="1" t="s">
        <v>92</v>
      </c>
      <c r="C479" s="1">
        <v>3.9969999999999999</v>
      </c>
      <c r="D479" s="1">
        <v>1</v>
      </c>
      <c r="G479" s="1">
        <v>4203</v>
      </c>
      <c r="H479" s="1">
        <v>4839</v>
      </c>
      <c r="I479" s="1">
        <v>76.744</v>
      </c>
      <c r="K479" s="1">
        <v>0</v>
      </c>
      <c r="M479" t="b">
        <f t="shared" si="55"/>
        <v>0</v>
      </c>
      <c r="N479">
        <f t="shared" si="50"/>
        <v>0</v>
      </c>
      <c r="O479">
        <f t="shared" si="51"/>
        <v>1</v>
      </c>
      <c r="P479">
        <f t="shared" si="56"/>
        <v>6</v>
      </c>
      <c r="R479">
        <f t="shared" si="52"/>
        <v>6</v>
      </c>
      <c r="S479">
        <f t="shared" si="53"/>
        <v>14</v>
      </c>
      <c r="T479">
        <f t="shared" si="54"/>
        <v>0</v>
      </c>
    </row>
    <row r="480" spans="1:20" x14ac:dyDescent="0.2">
      <c r="A480" s="1">
        <v>83</v>
      </c>
      <c r="B480" s="1" t="s">
        <v>93</v>
      </c>
      <c r="C480" s="1">
        <v>29.748999999999999</v>
      </c>
      <c r="D480" s="1">
        <v>0</v>
      </c>
      <c r="E480" s="1">
        <v>5226</v>
      </c>
      <c r="F480" s="1">
        <v>3661</v>
      </c>
      <c r="I480" s="1">
        <v>94.466999999999999</v>
      </c>
      <c r="J480" s="1">
        <v>8.5999999999999993E-2</v>
      </c>
      <c r="M480" t="b">
        <f t="shared" si="55"/>
        <v>0</v>
      </c>
      <c r="N480">
        <f t="shared" si="50"/>
        <v>1</v>
      </c>
      <c r="O480">
        <f t="shared" si="51"/>
        <v>0</v>
      </c>
      <c r="P480">
        <f t="shared" si="56"/>
        <v>1</v>
      </c>
      <c r="R480">
        <f t="shared" si="52"/>
        <v>1</v>
      </c>
      <c r="S480">
        <f t="shared" si="53"/>
        <v>14</v>
      </c>
      <c r="T480">
        <f t="shared" si="54"/>
        <v>0</v>
      </c>
    </row>
    <row r="481" spans="1:20" x14ac:dyDescent="0.2">
      <c r="A481" s="1">
        <v>83</v>
      </c>
      <c r="B481" s="1" t="s">
        <v>93</v>
      </c>
      <c r="C481" s="1">
        <v>29.748999999999999</v>
      </c>
      <c r="D481" s="1">
        <v>1</v>
      </c>
      <c r="E481" s="1">
        <v>5223</v>
      </c>
      <c r="F481" s="1">
        <v>3659</v>
      </c>
      <c r="I481" s="1">
        <v>94.46</v>
      </c>
      <c r="J481" s="1">
        <v>0</v>
      </c>
      <c r="M481" t="b">
        <f t="shared" si="55"/>
        <v>0</v>
      </c>
      <c r="N481">
        <f t="shared" si="50"/>
        <v>1</v>
      </c>
      <c r="O481">
        <f t="shared" si="51"/>
        <v>1</v>
      </c>
      <c r="P481">
        <f t="shared" si="56"/>
        <v>2</v>
      </c>
      <c r="R481">
        <f t="shared" si="52"/>
        <v>2</v>
      </c>
      <c r="S481">
        <f t="shared" si="53"/>
        <v>14</v>
      </c>
      <c r="T481">
        <f t="shared" si="54"/>
        <v>0</v>
      </c>
    </row>
    <row r="482" spans="1:20" x14ac:dyDescent="0.2">
      <c r="A482" s="1">
        <v>83</v>
      </c>
      <c r="B482" s="1" t="s">
        <v>93</v>
      </c>
      <c r="C482" s="1">
        <v>29.748999999999999</v>
      </c>
      <c r="D482" s="1">
        <v>0</v>
      </c>
      <c r="E482" s="1">
        <v>528</v>
      </c>
      <c r="F482" s="1">
        <v>373</v>
      </c>
      <c r="I482" s="1">
        <v>13.712</v>
      </c>
      <c r="J482" s="1">
        <v>6.8540000000000001</v>
      </c>
      <c r="M482" t="b">
        <f t="shared" si="55"/>
        <v>1</v>
      </c>
      <c r="N482">
        <f t="shared" si="50"/>
        <v>1</v>
      </c>
      <c r="O482">
        <f t="shared" si="51"/>
        <v>0</v>
      </c>
      <c r="P482">
        <f t="shared" si="56"/>
        <v>3</v>
      </c>
      <c r="R482">
        <f t="shared" si="52"/>
        <v>3</v>
      </c>
      <c r="S482">
        <f t="shared" si="53"/>
        <v>14</v>
      </c>
      <c r="T482">
        <f t="shared" si="54"/>
        <v>0</v>
      </c>
    </row>
    <row r="483" spans="1:20" x14ac:dyDescent="0.2">
      <c r="A483" s="1">
        <v>83</v>
      </c>
      <c r="B483" s="1" t="s">
        <v>93</v>
      </c>
      <c r="C483" s="1">
        <v>29.748999999999999</v>
      </c>
      <c r="D483" s="1">
        <v>0</v>
      </c>
      <c r="G483" s="1">
        <v>453</v>
      </c>
      <c r="H483" s="1">
        <v>515</v>
      </c>
      <c r="I483" s="1">
        <v>11.755000000000001</v>
      </c>
      <c r="K483" s="1">
        <v>-12.813000000000001</v>
      </c>
      <c r="M483" t="b">
        <f t="shared" si="55"/>
        <v>1</v>
      </c>
      <c r="N483">
        <f t="shared" si="50"/>
        <v>0</v>
      </c>
      <c r="O483">
        <f t="shared" si="51"/>
        <v>0</v>
      </c>
      <c r="P483">
        <f t="shared" si="56"/>
        <v>4</v>
      </c>
      <c r="R483">
        <f t="shared" si="52"/>
        <v>4</v>
      </c>
      <c r="S483">
        <f t="shared" si="53"/>
        <v>14</v>
      </c>
      <c r="T483">
        <f t="shared" si="54"/>
        <v>0</v>
      </c>
    </row>
    <row r="484" spans="1:20" x14ac:dyDescent="0.2">
      <c r="A484" s="1">
        <v>83</v>
      </c>
      <c r="B484" s="1" t="s">
        <v>93</v>
      </c>
      <c r="C484" s="1">
        <v>29.748999999999999</v>
      </c>
      <c r="D484" s="1">
        <v>0</v>
      </c>
      <c r="G484" s="1">
        <v>4207</v>
      </c>
      <c r="H484" s="1">
        <v>4845</v>
      </c>
      <c r="I484" s="1">
        <v>76.492999999999995</v>
      </c>
      <c r="K484" s="1">
        <v>0.317</v>
      </c>
      <c r="M484" t="b">
        <f t="shared" si="55"/>
        <v>0</v>
      </c>
      <c r="N484">
        <f t="shared" si="50"/>
        <v>0</v>
      </c>
      <c r="O484">
        <f t="shared" si="51"/>
        <v>0</v>
      </c>
      <c r="P484">
        <f t="shared" si="56"/>
        <v>5</v>
      </c>
      <c r="R484">
        <f t="shared" si="52"/>
        <v>5</v>
      </c>
      <c r="S484">
        <f t="shared" si="53"/>
        <v>14</v>
      </c>
      <c r="T484">
        <f t="shared" si="54"/>
        <v>0</v>
      </c>
    </row>
    <row r="485" spans="1:20" x14ac:dyDescent="0.2">
      <c r="A485" s="1">
        <v>83</v>
      </c>
      <c r="B485" s="1" t="s">
        <v>93</v>
      </c>
      <c r="C485" s="1">
        <v>29.748999999999999</v>
      </c>
      <c r="D485" s="1">
        <v>1</v>
      </c>
      <c r="G485" s="1">
        <v>4203</v>
      </c>
      <c r="H485" s="1">
        <v>4838</v>
      </c>
      <c r="I485" s="1">
        <v>76.861999999999995</v>
      </c>
      <c r="K485" s="1">
        <v>0</v>
      </c>
      <c r="M485" t="b">
        <f t="shared" si="55"/>
        <v>0</v>
      </c>
      <c r="N485">
        <f t="shared" si="50"/>
        <v>0</v>
      </c>
      <c r="O485">
        <f t="shared" si="51"/>
        <v>1</v>
      </c>
      <c r="P485">
        <f t="shared" si="56"/>
        <v>6</v>
      </c>
      <c r="R485">
        <f t="shared" si="52"/>
        <v>6</v>
      </c>
      <c r="S485">
        <f t="shared" si="53"/>
        <v>14</v>
      </c>
      <c r="T485">
        <f t="shared" si="54"/>
        <v>0</v>
      </c>
    </row>
    <row r="486" spans="1:20" x14ac:dyDescent="0.2">
      <c r="A486" s="1">
        <v>84</v>
      </c>
      <c r="B486" s="1" t="s">
        <v>94</v>
      </c>
      <c r="C486" s="1">
        <v>12.000999999999999</v>
      </c>
      <c r="D486" s="1">
        <v>0</v>
      </c>
      <c r="E486" s="1">
        <v>5225</v>
      </c>
      <c r="F486" s="1">
        <v>3660</v>
      </c>
      <c r="I486" s="1">
        <v>94.481999999999999</v>
      </c>
      <c r="J486" s="1">
        <v>9.1999999999999998E-2</v>
      </c>
      <c r="M486" t="b">
        <f t="shared" si="55"/>
        <v>0</v>
      </c>
      <c r="N486">
        <f t="shared" si="50"/>
        <v>1</v>
      </c>
      <c r="O486">
        <f t="shared" si="51"/>
        <v>0</v>
      </c>
      <c r="P486">
        <f t="shared" si="56"/>
        <v>1</v>
      </c>
      <c r="R486">
        <f t="shared" si="52"/>
        <v>1</v>
      </c>
      <c r="S486">
        <f t="shared" si="53"/>
        <v>14</v>
      </c>
      <c r="T486">
        <f t="shared" si="54"/>
        <v>0</v>
      </c>
    </row>
    <row r="487" spans="1:20" x14ac:dyDescent="0.2">
      <c r="A487" s="1">
        <v>84</v>
      </c>
      <c r="B487" s="1" t="s">
        <v>94</v>
      </c>
      <c r="C487" s="1">
        <v>12.000999999999999</v>
      </c>
      <c r="D487" s="1">
        <v>1</v>
      </c>
      <c r="E487" s="1">
        <v>5222</v>
      </c>
      <c r="F487" s="1">
        <v>3658</v>
      </c>
      <c r="I487" s="1">
        <v>94.433999999999997</v>
      </c>
      <c r="J487" s="1">
        <v>0</v>
      </c>
      <c r="M487" t="b">
        <f t="shared" si="55"/>
        <v>0</v>
      </c>
      <c r="N487">
        <f t="shared" si="50"/>
        <v>1</v>
      </c>
      <c r="O487">
        <f t="shared" si="51"/>
        <v>1</v>
      </c>
      <c r="P487">
        <f t="shared" si="56"/>
        <v>2</v>
      </c>
      <c r="R487">
        <f t="shared" si="52"/>
        <v>2</v>
      </c>
      <c r="S487">
        <f t="shared" si="53"/>
        <v>14</v>
      </c>
      <c r="T487">
        <f t="shared" si="54"/>
        <v>0</v>
      </c>
    </row>
    <row r="488" spans="1:20" x14ac:dyDescent="0.2">
      <c r="A488" s="1">
        <v>84</v>
      </c>
      <c r="B488" s="1" t="s">
        <v>94</v>
      </c>
      <c r="C488" s="1">
        <v>12.000999999999999</v>
      </c>
      <c r="D488" s="1">
        <v>0</v>
      </c>
      <c r="G488" s="1">
        <v>4202</v>
      </c>
      <c r="H488" s="1">
        <v>4838</v>
      </c>
      <c r="I488" s="1">
        <v>76.361000000000004</v>
      </c>
      <c r="K488" s="1">
        <v>0.33600000000000002</v>
      </c>
      <c r="M488" t="b">
        <f t="shared" si="55"/>
        <v>0</v>
      </c>
      <c r="N488">
        <f t="shared" si="50"/>
        <v>0</v>
      </c>
      <c r="O488">
        <f t="shared" si="51"/>
        <v>0</v>
      </c>
      <c r="P488">
        <f t="shared" si="56"/>
        <v>5</v>
      </c>
      <c r="R488">
        <f t="shared" si="52"/>
        <v>3</v>
      </c>
      <c r="S488">
        <f t="shared" si="53"/>
        <v>16</v>
      </c>
      <c r="T488">
        <f t="shared" si="54"/>
        <v>0</v>
      </c>
    </row>
    <row r="489" spans="1:20" x14ac:dyDescent="0.2">
      <c r="A489" s="1">
        <v>84</v>
      </c>
      <c r="B489" s="1" t="s">
        <v>94</v>
      </c>
      <c r="C489" s="1">
        <v>12.000999999999999</v>
      </c>
      <c r="D489" s="1">
        <v>1</v>
      </c>
      <c r="G489" s="1">
        <v>4201</v>
      </c>
      <c r="H489" s="1">
        <v>4836</v>
      </c>
      <c r="I489" s="1">
        <v>76.695999999999998</v>
      </c>
      <c r="K489" s="1">
        <v>0</v>
      </c>
      <c r="M489" t="b">
        <f t="shared" si="55"/>
        <v>0</v>
      </c>
      <c r="N489">
        <f t="shared" si="50"/>
        <v>0</v>
      </c>
      <c r="O489">
        <f t="shared" si="51"/>
        <v>1</v>
      </c>
      <c r="P489">
        <f t="shared" si="56"/>
        <v>6</v>
      </c>
      <c r="R489">
        <f t="shared" si="52"/>
        <v>4</v>
      </c>
      <c r="S489">
        <f t="shared" si="53"/>
        <v>16</v>
      </c>
      <c r="T489">
        <f t="shared" si="54"/>
        <v>0</v>
      </c>
    </row>
    <row r="490" spans="1:20" x14ac:dyDescent="0.2">
      <c r="A490" s="1">
        <v>85</v>
      </c>
      <c r="B490" s="1" t="s">
        <v>95</v>
      </c>
      <c r="C490" s="1">
        <v>30.135999999999999</v>
      </c>
      <c r="D490" s="1">
        <v>0</v>
      </c>
      <c r="E490" s="1">
        <v>5219</v>
      </c>
      <c r="F490" s="1">
        <v>3656</v>
      </c>
      <c r="I490" s="1">
        <v>94.406999999999996</v>
      </c>
      <c r="J490" s="1">
        <v>0.126</v>
      </c>
      <c r="M490" t="b">
        <f t="shared" si="55"/>
        <v>0</v>
      </c>
      <c r="N490">
        <f t="shared" si="50"/>
        <v>1</v>
      </c>
      <c r="O490">
        <f t="shared" si="51"/>
        <v>0</v>
      </c>
      <c r="P490">
        <f t="shared" si="56"/>
        <v>1</v>
      </c>
      <c r="R490">
        <f t="shared" si="52"/>
        <v>1</v>
      </c>
      <c r="S490">
        <f t="shared" si="53"/>
        <v>16</v>
      </c>
      <c r="T490">
        <f t="shared" si="54"/>
        <v>0</v>
      </c>
    </row>
    <row r="491" spans="1:20" x14ac:dyDescent="0.2">
      <c r="A491" s="1">
        <v>85</v>
      </c>
      <c r="B491" s="1" t="s">
        <v>95</v>
      </c>
      <c r="C491" s="1">
        <v>30.135999999999999</v>
      </c>
      <c r="D491" s="1">
        <v>1</v>
      </c>
      <c r="E491" s="1">
        <v>5219</v>
      </c>
      <c r="F491" s="1">
        <v>3655</v>
      </c>
      <c r="I491" s="1">
        <v>94.406000000000006</v>
      </c>
      <c r="J491" s="1">
        <v>0</v>
      </c>
      <c r="M491" t="b">
        <f t="shared" si="55"/>
        <v>0</v>
      </c>
      <c r="N491">
        <f t="shared" si="50"/>
        <v>1</v>
      </c>
      <c r="O491">
        <f t="shared" si="51"/>
        <v>1</v>
      </c>
      <c r="P491">
        <f t="shared" si="56"/>
        <v>2</v>
      </c>
      <c r="R491">
        <f t="shared" si="52"/>
        <v>2</v>
      </c>
      <c r="S491">
        <f t="shared" si="53"/>
        <v>16</v>
      </c>
      <c r="T491">
        <f t="shared" si="54"/>
        <v>0</v>
      </c>
    </row>
    <row r="492" spans="1:20" x14ac:dyDescent="0.2">
      <c r="A492" s="1">
        <v>85</v>
      </c>
      <c r="B492" s="1" t="s">
        <v>95</v>
      </c>
      <c r="C492" s="1">
        <v>30.135999999999999</v>
      </c>
      <c r="D492" s="1">
        <v>0</v>
      </c>
      <c r="E492" s="1">
        <v>565</v>
      </c>
      <c r="F492" s="1">
        <v>399</v>
      </c>
      <c r="I492" s="1">
        <v>14.651</v>
      </c>
      <c r="J492" s="1">
        <v>7.0679999999999996</v>
      </c>
      <c r="M492" t="b">
        <f t="shared" si="55"/>
        <v>1</v>
      </c>
      <c r="N492">
        <f t="shared" si="50"/>
        <v>1</v>
      </c>
      <c r="O492">
        <f t="shared" si="51"/>
        <v>0</v>
      </c>
      <c r="P492">
        <f t="shared" si="56"/>
        <v>3</v>
      </c>
      <c r="R492">
        <f t="shared" si="52"/>
        <v>3</v>
      </c>
      <c r="S492">
        <f t="shared" si="53"/>
        <v>16</v>
      </c>
      <c r="T492">
        <f t="shared" si="54"/>
        <v>0</v>
      </c>
    </row>
    <row r="493" spans="1:20" x14ac:dyDescent="0.2">
      <c r="A493" s="1">
        <v>85</v>
      </c>
      <c r="B493" s="1" t="s">
        <v>95</v>
      </c>
      <c r="C493" s="1">
        <v>30.135999999999999</v>
      </c>
      <c r="D493" s="1">
        <v>0</v>
      </c>
      <c r="G493" s="1">
        <v>527</v>
      </c>
      <c r="H493" s="1">
        <v>600</v>
      </c>
      <c r="I493" s="1">
        <v>13.736000000000001</v>
      </c>
      <c r="K493" s="1">
        <v>-13.391999999999999</v>
      </c>
      <c r="M493" t="b">
        <f t="shared" si="55"/>
        <v>1</v>
      </c>
      <c r="N493">
        <f t="shared" si="50"/>
        <v>0</v>
      </c>
      <c r="O493">
        <f t="shared" si="51"/>
        <v>0</v>
      </c>
      <c r="P493">
        <f t="shared" si="56"/>
        <v>4</v>
      </c>
      <c r="R493">
        <f t="shared" si="52"/>
        <v>4</v>
      </c>
      <c r="S493">
        <f t="shared" si="53"/>
        <v>16</v>
      </c>
      <c r="T493">
        <f t="shared" si="54"/>
        <v>0</v>
      </c>
    </row>
    <row r="494" spans="1:20" x14ac:dyDescent="0.2">
      <c r="A494" s="1">
        <v>85</v>
      </c>
      <c r="B494" s="1" t="s">
        <v>95</v>
      </c>
      <c r="C494" s="1">
        <v>30.135999999999999</v>
      </c>
      <c r="D494" s="1">
        <v>0</v>
      </c>
      <c r="G494" s="1">
        <v>4199</v>
      </c>
      <c r="H494" s="1">
        <v>4835</v>
      </c>
      <c r="I494" s="1">
        <v>76.37</v>
      </c>
      <c r="K494" s="1">
        <v>0.313</v>
      </c>
      <c r="M494" t="b">
        <f t="shared" si="55"/>
        <v>0</v>
      </c>
      <c r="N494">
        <f t="shared" si="50"/>
        <v>0</v>
      </c>
      <c r="O494">
        <f t="shared" si="51"/>
        <v>0</v>
      </c>
      <c r="P494">
        <f t="shared" si="56"/>
        <v>5</v>
      </c>
      <c r="R494">
        <f t="shared" si="52"/>
        <v>5</v>
      </c>
      <c r="S494">
        <f t="shared" si="53"/>
        <v>16</v>
      </c>
      <c r="T494">
        <f t="shared" si="54"/>
        <v>0</v>
      </c>
    </row>
    <row r="495" spans="1:20" x14ac:dyDescent="0.2">
      <c r="A495" s="1">
        <v>85</v>
      </c>
      <c r="B495" s="1" t="s">
        <v>95</v>
      </c>
      <c r="C495" s="1">
        <v>30.135999999999999</v>
      </c>
      <c r="D495" s="1">
        <v>1</v>
      </c>
      <c r="G495" s="1">
        <v>4195</v>
      </c>
      <c r="H495" s="1">
        <v>4830</v>
      </c>
      <c r="I495" s="1">
        <v>76.641999999999996</v>
      </c>
      <c r="K495" s="1">
        <v>0</v>
      </c>
      <c r="M495" t="b">
        <f t="shared" si="55"/>
        <v>0</v>
      </c>
      <c r="N495">
        <f t="shared" si="50"/>
        <v>0</v>
      </c>
      <c r="O495">
        <f t="shared" si="51"/>
        <v>1</v>
      </c>
      <c r="P495">
        <f t="shared" si="56"/>
        <v>6</v>
      </c>
      <c r="R495">
        <f t="shared" si="52"/>
        <v>6</v>
      </c>
      <c r="S495">
        <f t="shared" si="53"/>
        <v>16</v>
      </c>
      <c r="T495">
        <f t="shared" si="54"/>
        <v>0</v>
      </c>
    </row>
    <row r="496" spans="1:20" x14ac:dyDescent="0.2">
      <c r="A496" s="1">
        <v>86</v>
      </c>
      <c r="B496" s="1" t="s">
        <v>96</v>
      </c>
      <c r="C496" s="1">
        <v>4</v>
      </c>
      <c r="D496" s="1">
        <v>0</v>
      </c>
      <c r="E496" s="1">
        <v>5216</v>
      </c>
      <c r="F496" s="1">
        <v>3653</v>
      </c>
      <c r="I496" s="1">
        <v>94.331000000000003</v>
      </c>
      <c r="J496" s="1">
        <v>9.2999999999999999E-2</v>
      </c>
      <c r="M496" t="b">
        <f t="shared" si="55"/>
        <v>0</v>
      </c>
      <c r="N496">
        <f t="shared" si="50"/>
        <v>1</v>
      </c>
      <c r="O496">
        <f t="shared" si="51"/>
        <v>0</v>
      </c>
      <c r="P496">
        <f t="shared" si="56"/>
        <v>1</v>
      </c>
      <c r="R496">
        <f t="shared" si="52"/>
        <v>1</v>
      </c>
      <c r="S496">
        <f t="shared" si="53"/>
        <v>16</v>
      </c>
      <c r="T496">
        <f t="shared" si="54"/>
        <v>0</v>
      </c>
    </row>
    <row r="497" spans="1:20" x14ac:dyDescent="0.2">
      <c r="A497" s="1">
        <v>86</v>
      </c>
      <c r="B497" s="1" t="s">
        <v>96</v>
      </c>
      <c r="C497" s="1">
        <v>4</v>
      </c>
      <c r="D497" s="1">
        <v>1</v>
      </c>
      <c r="E497" s="1">
        <v>5216</v>
      </c>
      <c r="F497" s="1">
        <v>3654</v>
      </c>
      <c r="I497" s="1">
        <v>94.313999999999993</v>
      </c>
      <c r="J497" s="1">
        <v>0</v>
      </c>
      <c r="M497" t="b">
        <f t="shared" si="55"/>
        <v>0</v>
      </c>
      <c r="N497">
        <f t="shared" si="50"/>
        <v>1</v>
      </c>
      <c r="O497">
        <f t="shared" si="51"/>
        <v>1</v>
      </c>
      <c r="P497">
        <f t="shared" si="56"/>
        <v>2</v>
      </c>
      <c r="R497">
        <f t="shared" si="52"/>
        <v>2</v>
      </c>
      <c r="S497">
        <f t="shared" si="53"/>
        <v>16</v>
      </c>
      <c r="T497">
        <f t="shared" si="54"/>
        <v>0</v>
      </c>
    </row>
    <row r="498" spans="1:20" x14ac:dyDescent="0.2">
      <c r="A498" s="1">
        <v>86</v>
      </c>
      <c r="B498" s="1" t="s">
        <v>96</v>
      </c>
      <c r="C498" s="1">
        <v>4</v>
      </c>
      <c r="D498" s="1">
        <v>0</v>
      </c>
      <c r="G498" s="1">
        <v>4197</v>
      </c>
      <c r="H498" s="1">
        <v>4833</v>
      </c>
      <c r="I498" s="1">
        <v>76.317999999999998</v>
      </c>
      <c r="K498" s="1">
        <v>0.309</v>
      </c>
      <c r="M498" t="b">
        <f t="shared" si="55"/>
        <v>0</v>
      </c>
      <c r="N498">
        <f t="shared" si="50"/>
        <v>0</v>
      </c>
      <c r="O498">
        <f t="shared" si="51"/>
        <v>0</v>
      </c>
      <c r="P498">
        <f t="shared" si="56"/>
        <v>5</v>
      </c>
      <c r="R498">
        <f t="shared" si="52"/>
        <v>3</v>
      </c>
      <c r="S498">
        <f t="shared" si="53"/>
        <v>18</v>
      </c>
      <c r="T498">
        <f t="shared" si="54"/>
        <v>0</v>
      </c>
    </row>
    <row r="499" spans="1:20" x14ac:dyDescent="0.2">
      <c r="A499" s="1">
        <v>86</v>
      </c>
      <c r="B499" s="1" t="s">
        <v>96</v>
      </c>
      <c r="C499" s="1">
        <v>4</v>
      </c>
      <c r="D499" s="1">
        <v>1</v>
      </c>
      <c r="G499" s="1">
        <v>4196</v>
      </c>
      <c r="H499" s="1">
        <v>4830</v>
      </c>
      <c r="I499" s="1">
        <v>76.578999999999994</v>
      </c>
      <c r="K499" s="1">
        <v>0</v>
      </c>
      <c r="M499" t="b">
        <f t="shared" si="55"/>
        <v>0</v>
      </c>
      <c r="N499">
        <f t="shared" si="50"/>
        <v>0</v>
      </c>
      <c r="O499">
        <f t="shared" si="51"/>
        <v>1</v>
      </c>
      <c r="P499">
        <f t="shared" si="56"/>
        <v>6</v>
      </c>
      <c r="R499">
        <f t="shared" si="52"/>
        <v>4</v>
      </c>
      <c r="S499">
        <f t="shared" si="53"/>
        <v>18</v>
      </c>
      <c r="T499">
        <f t="shared" si="54"/>
        <v>0</v>
      </c>
    </row>
    <row r="500" spans="1:20" x14ac:dyDescent="0.2">
      <c r="A500" s="1">
        <v>87</v>
      </c>
      <c r="B500" s="1" t="s">
        <v>97</v>
      </c>
      <c r="C500" s="1">
        <v>4.0019999999999998</v>
      </c>
      <c r="D500" s="1">
        <v>0</v>
      </c>
      <c r="E500" s="1">
        <v>5216</v>
      </c>
      <c r="F500" s="1">
        <v>3654</v>
      </c>
      <c r="I500" s="1">
        <v>94.405000000000001</v>
      </c>
      <c r="J500" s="1">
        <v>8.4000000000000005E-2</v>
      </c>
      <c r="M500" t="b">
        <f t="shared" si="55"/>
        <v>0</v>
      </c>
      <c r="N500">
        <f t="shared" si="50"/>
        <v>1</v>
      </c>
      <c r="O500">
        <f t="shared" si="51"/>
        <v>0</v>
      </c>
      <c r="P500">
        <f t="shared" si="56"/>
        <v>1</v>
      </c>
      <c r="R500">
        <f t="shared" si="52"/>
        <v>1</v>
      </c>
      <c r="S500">
        <f t="shared" si="53"/>
        <v>18</v>
      </c>
      <c r="T500">
        <f t="shared" si="54"/>
        <v>0</v>
      </c>
    </row>
    <row r="501" spans="1:20" x14ac:dyDescent="0.2">
      <c r="A501" s="1">
        <v>87</v>
      </c>
      <c r="B501" s="1" t="s">
        <v>97</v>
      </c>
      <c r="C501" s="1">
        <v>4.0019999999999998</v>
      </c>
      <c r="D501" s="1">
        <v>1</v>
      </c>
      <c r="E501" s="1">
        <v>5215</v>
      </c>
      <c r="F501" s="1">
        <v>3653</v>
      </c>
      <c r="I501" s="1">
        <v>94.325999999999993</v>
      </c>
      <c r="J501" s="1">
        <v>0</v>
      </c>
      <c r="M501" t="b">
        <f t="shared" si="55"/>
        <v>0</v>
      </c>
      <c r="N501">
        <f t="shared" si="50"/>
        <v>1</v>
      </c>
      <c r="O501">
        <f t="shared" si="51"/>
        <v>1</v>
      </c>
      <c r="P501">
        <f t="shared" si="56"/>
        <v>2</v>
      </c>
      <c r="R501">
        <f t="shared" si="52"/>
        <v>2</v>
      </c>
      <c r="S501">
        <f t="shared" si="53"/>
        <v>18</v>
      </c>
      <c r="T501">
        <f t="shared" si="54"/>
        <v>0</v>
      </c>
    </row>
    <row r="502" spans="1:20" x14ac:dyDescent="0.2">
      <c r="A502" s="1">
        <v>87</v>
      </c>
      <c r="B502" s="1" t="s">
        <v>97</v>
      </c>
      <c r="C502" s="1">
        <v>4.0019999999999998</v>
      </c>
      <c r="D502" s="1">
        <v>0</v>
      </c>
      <c r="E502" s="1">
        <v>202</v>
      </c>
      <c r="F502" s="1">
        <v>142</v>
      </c>
      <c r="I502" s="1">
        <v>5.1980000000000004</v>
      </c>
      <c r="J502" s="1">
        <v>5.6920000000000002</v>
      </c>
      <c r="M502" t="b">
        <f t="shared" si="55"/>
        <v>1</v>
      </c>
      <c r="N502">
        <f t="shared" si="50"/>
        <v>1</v>
      </c>
      <c r="O502">
        <f t="shared" si="51"/>
        <v>0</v>
      </c>
      <c r="P502">
        <f t="shared" si="56"/>
        <v>3</v>
      </c>
      <c r="R502">
        <f t="shared" si="52"/>
        <v>3</v>
      </c>
      <c r="S502">
        <f t="shared" si="53"/>
        <v>18</v>
      </c>
      <c r="T502">
        <f t="shared" si="54"/>
        <v>0</v>
      </c>
    </row>
    <row r="503" spans="1:20" x14ac:dyDescent="0.2">
      <c r="A503" s="1">
        <v>87</v>
      </c>
      <c r="B503" s="1" t="s">
        <v>97</v>
      </c>
      <c r="C503" s="1">
        <v>4.0019999999999998</v>
      </c>
      <c r="D503" s="1">
        <v>0</v>
      </c>
      <c r="G503" s="1">
        <v>341</v>
      </c>
      <c r="H503" s="1">
        <v>387</v>
      </c>
      <c r="I503" s="1">
        <v>8.766</v>
      </c>
      <c r="K503" s="1">
        <v>-15.38</v>
      </c>
      <c r="M503" t="b">
        <f t="shared" si="55"/>
        <v>1</v>
      </c>
      <c r="N503">
        <f t="shared" si="50"/>
        <v>0</v>
      </c>
      <c r="O503">
        <f t="shared" si="51"/>
        <v>0</v>
      </c>
      <c r="P503">
        <f t="shared" si="56"/>
        <v>4</v>
      </c>
      <c r="R503">
        <f t="shared" si="52"/>
        <v>4</v>
      </c>
      <c r="S503">
        <f t="shared" si="53"/>
        <v>18</v>
      </c>
      <c r="T503">
        <f t="shared" si="54"/>
        <v>0</v>
      </c>
    </row>
    <row r="504" spans="1:20" x14ac:dyDescent="0.2">
      <c r="A504" s="1">
        <v>87</v>
      </c>
      <c r="B504" s="1" t="s">
        <v>97</v>
      </c>
      <c r="C504" s="1">
        <v>4.0019999999999998</v>
      </c>
      <c r="D504" s="1">
        <v>0</v>
      </c>
      <c r="G504" s="1">
        <v>4196</v>
      </c>
      <c r="H504" s="1">
        <v>4832</v>
      </c>
      <c r="I504" s="1">
        <v>76.334999999999994</v>
      </c>
      <c r="K504" s="1">
        <v>0.29099999999999998</v>
      </c>
      <c r="M504" t="b">
        <f t="shared" si="55"/>
        <v>0</v>
      </c>
      <c r="N504">
        <f t="shared" si="50"/>
        <v>0</v>
      </c>
      <c r="O504">
        <f t="shared" si="51"/>
        <v>0</v>
      </c>
      <c r="P504">
        <f t="shared" si="56"/>
        <v>5</v>
      </c>
      <c r="R504">
        <f t="shared" si="52"/>
        <v>5</v>
      </c>
      <c r="S504">
        <f t="shared" si="53"/>
        <v>18</v>
      </c>
      <c r="T504">
        <f t="shared" si="54"/>
        <v>0</v>
      </c>
    </row>
    <row r="505" spans="1:20" x14ac:dyDescent="0.2">
      <c r="A505" s="1">
        <v>87</v>
      </c>
      <c r="B505" s="1" t="s">
        <v>97</v>
      </c>
      <c r="C505" s="1">
        <v>4.0019999999999998</v>
      </c>
      <c r="D505" s="1">
        <v>1</v>
      </c>
      <c r="G505" s="1">
        <v>4192</v>
      </c>
      <c r="H505" s="1">
        <v>4826</v>
      </c>
      <c r="I505" s="1">
        <v>76.552000000000007</v>
      </c>
      <c r="K505" s="1">
        <v>0</v>
      </c>
      <c r="M505" t="b">
        <f t="shared" si="55"/>
        <v>0</v>
      </c>
      <c r="N505">
        <f t="shared" si="50"/>
        <v>0</v>
      </c>
      <c r="O505">
        <f t="shared" si="51"/>
        <v>1</v>
      </c>
      <c r="P505">
        <f t="shared" si="56"/>
        <v>6</v>
      </c>
      <c r="R505">
        <f t="shared" si="52"/>
        <v>6</v>
      </c>
      <c r="S505">
        <f t="shared" si="53"/>
        <v>18</v>
      </c>
      <c r="T505">
        <f t="shared" si="54"/>
        <v>0</v>
      </c>
    </row>
    <row r="506" spans="1:20" x14ac:dyDescent="0.2">
      <c r="A506" s="1">
        <v>88</v>
      </c>
      <c r="B506" s="1" t="s">
        <v>98</v>
      </c>
      <c r="C506" s="1">
        <v>2.004</v>
      </c>
      <c r="D506" s="1">
        <v>0</v>
      </c>
      <c r="E506" s="1">
        <v>5211</v>
      </c>
      <c r="F506" s="1">
        <v>3650</v>
      </c>
      <c r="I506" s="1">
        <v>94.236000000000004</v>
      </c>
      <c r="J506" s="1">
        <v>7.1999999999999995E-2</v>
      </c>
      <c r="M506" t="b">
        <f t="shared" si="55"/>
        <v>0</v>
      </c>
      <c r="N506">
        <f t="shared" si="50"/>
        <v>1</v>
      </c>
      <c r="O506">
        <f t="shared" si="51"/>
        <v>0</v>
      </c>
      <c r="P506">
        <f t="shared" si="56"/>
        <v>1</v>
      </c>
      <c r="R506">
        <f t="shared" si="52"/>
        <v>1</v>
      </c>
      <c r="S506">
        <f t="shared" si="53"/>
        <v>18</v>
      </c>
      <c r="T506">
        <f t="shared" si="54"/>
        <v>0</v>
      </c>
    </row>
    <row r="507" spans="1:20" x14ac:dyDescent="0.2">
      <c r="A507" s="1">
        <v>88</v>
      </c>
      <c r="B507" s="1" t="s">
        <v>98</v>
      </c>
      <c r="C507" s="1">
        <v>2.004</v>
      </c>
      <c r="D507" s="1">
        <v>1</v>
      </c>
      <c r="E507" s="1">
        <v>5209</v>
      </c>
      <c r="F507" s="1">
        <v>3649</v>
      </c>
      <c r="I507" s="1">
        <v>94.213999999999999</v>
      </c>
      <c r="J507" s="1">
        <v>0</v>
      </c>
      <c r="M507" t="b">
        <f t="shared" si="55"/>
        <v>0</v>
      </c>
      <c r="N507">
        <f t="shared" si="50"/>
        <v>1</v>
      </c>
      <c r="O507">
        <f t="shared" si="51"/>
        <v>1</v>
      </c>
      <c r="P507">
        <f t="shared" si="56"/>
        <v>2</v>
      </c>
      <c r="R507">
        <f t="shared" si="52"/>
        <v>2</v>
      </c>
      <c r="S507">
        <f t="shared" si="53"/>
        <v>18</v>
      </c>
      <c r="T507">
        <f t="shared" si="54"/>
        <v>0</v>
      </c>
    </row>
    <row r="508" spans="1:20" x14ac:dyDescent="0.2">
      <c r="A508" s="1">
        <v>88</v>
      </c>
      <c r="B508" s="1" t="s">
        <v>98</v>
      </c>
      <c r="C508" s="1">
        <v>2.004</v>
      </c>
      <c r="D508" s="1">
        <v>0</v>
      </c>
      <c r="E508" s="1">
        <v>1282</v>
      </c>
      <c r="F508" s="1">
        <v>901</v>
      </c>
      <c r="I508" s="1">
        <v>31.427</v>
      </c>
      <c r="J508" s="1">
        <v>3.1739999999999999</v>
      </c>
      <c r="M508" t="b">
        <f t="shared" si="55"/>
        <v>1</v>
      </c>
      <c r="N508">
        <f t="shared" si="50"/>
        <v>1</v>
      </c>
      <c r="O508">
        <f t="shared" si="51"/>
        <v>0</v>
      </c>
      <c r="P508">
        <f t="shared" si="56"/>
        <v>3</v>
      </c>
      <c r="R508">
        <f t="shared" si="52"/>
        <v>3</v>
      </c>
      <c r="S508">
        <f t="shared" si="53"/>
        <v>18</v>
      </c>
      <c r="T508">
        <f t="shared" si="54"/>
        <v>0</v>
      </c>
    </row>
    <row r="509" spans="1:20" x14ac:dyDescent="0.2">
      <c r="A509" s="1">
        <v>88</v>
      </c>
      <c r="B509" s="1" t="s">
        <v>98</v>
      </c>
      <c r="C509" s="1">
        <v>2.004</v>
      </c>
      <c r="D509" s="1">
        <v>0</v>
      </c>
      <c r="G509" s="1">
        <v>2240</v>
      </c>
      <c r="H509" s="1">
        <v>2554</v>
      </c>
      <c r="I509" s="1">
        <v>61.244</v>
      </c>
      <c r="K509" s="1">
        <v>-15.061999999999999</v>
      </c>
      <c r="M509" t="b">
        <f t="shared" si="55"/>
        <v>1</v>
      </c>
      <c r="N509">
        <f t="shared" si="50"/>
        <v>0</v>
      </c>
      <c r="O509">
        <f t="shared" si="51"/>
        <v>0</v>
      </c>
      <c r="P509">
        <f t="shared" si="56"/>
        <v>4</v>
      </c>
      <c r="R509">
        <f t="shared" si="52"/>
        <v>4</v>
      </c>
      <c r="S509">
        <f t="shared" si="53"/>
        <v>18</v>
      </c>
      <c r="T509">
        <f t="shared" si="54"/>
        <v>0</v>
      </c>
    </row>
    <row r="510" spans="1:20" x14ac:dyDescent="0.2">
      <c r="A510" s="1">
        <v>88</v>
      </c>
      <c r="B510" s="1" t="s">
        <v>98</v>
      </c>
      <c r="C510" s="1">
        <v>2.004</v>
      </c>
      <c r="D510" s="1">
        <v>0</v>
      </c>
      <c r="G510" s="1">
        <v>4201</v>
      </c>
      <c r="H510" s="1">
        <v>4837</v>
      </c>
      <c r="I510" s="1">
        <v>76.328000000000003</v>
      </c>
      <c r="K510" s="1">
        <v>0.28299999999999997</v>
      </c>
      <c r="M510" t="b">
        <f t="shared" si="55"/>
        <v>0</v>
      </c>
      <c r="N510">
        <f t="shared" si="50"/>
        <v>0</v>
      </c>
      <c r="O510">
        <f t="shared" si="51"/>
        <v>0</v>
      </c>
      <c r="P510">
        <f t="shared" si="56"/>
        <v>5</v>
      </c>
      <c r="R510">
        <f t="shared" si="52"/>
        <v>5</v>
      </c>
      <c r="S510">
        <f t="shared" si="53"/>
        <v>18</v>
      </c>
      <c r="T510">
        <f t="shared" si="54"/>
        <v>0</v>
      </c>
    </row>
    <row r="511" spans="1:20" x14ac:dyDescent="0.2">
      <c r="A511" s="1">
        <v>88</v>
      </c>
      <c r="B511" s="1" t="s">
        <v>98</v>
      </c>
      <c r="C511" s="1">
        <v>2.004</v>
      </c>
      <c r="D511" s="1">
        <v>1</v>
      </c>
      <c r="G511" s="1">
        <v>4198</v>
      </c>
      <c r="H511" s="1">
        <v>4832</v>
      </c>
      <c r="I511" s="1">
        <v>76.703000000000003</v>
      </c>
      <c r="K511" s="1">
        <v>0</v>
      </c>
      <c r="M511" t="b">
        <f t="shared" si="55"/>
        <v>0</v>
      </c>
      <c r="N511">
        <f t="shared" si="50"/>
        <v>0</v>
      </c>
      <c r="O511">
        <f t="shared" si="51"/>
        <v>1</v>
      </c>
      <c r="P511">
        <f t="shared" si="56"/>
        <v>6</v>
      </c>
      <c r="R511">
        <f t="shared" si="52"/>
        <v>6</v>
      </c>
      <c r="S511">
        <f t="shared" si="53"/>
        <v>18</v>
      </c>
      <c r="T511">
        <f t="shared" si="54"/>
        <v>0</v>
      </c>
    </row>
    <row r="512" spans="1:20" x14ac:dyDescent="0.2">
      <c r="A512" s="1">
        <v>89</v>
      </c>
      <c r="B512" s="1" t="s">
        <v>99</v>
      </c>
      <c r="C512" s="1">
        <v>0.70199999999999996</v>
      </c>
      <c r="D512" s="1">
        <v>0</v>
      </c>
      <c r="E512">
        <v>5217</v>
      </c>
      <c r="F512">
        <v>3655</v>
      </c>
      <c r="I512" s="1">
        <v>94.319000000000003</v>
      </c>
      <c r="J512">
        <v>7.3999999999999996E-2</v>
      </c>
      <c r="M512" t="b">
        <f t="shared" si="55"/>
        <v>0</v>
      </c>
      <c r="N512">
        <f t="shared" si="50"/>
        <v>1</v>
      </c>
      <c r="O512">
        <f t="shared" si="51"/>
        <v>0</v>
      </c>
      <c r="P512">
        <f t="shared" si="56"/>
        <v>1</v>
      </c>
      <c r="R512">
        <f t="shared" si="52"/>
        <v>1</v>
      </c>
      <c r="S512">
        <f t="shared" si="53"/>
        <v>18</v>
      </c>
      <c r="T512">
        <f t="shared" si="54"/>
        <v>0</v>
      </c>
    </row>
    <row r="513" spans="1:20" x14ac:dyDescent="0.2">
      <c r="A513" s="1">
        <v>89</v>
      </c>
      <c r="B513" s="1" t="s">
        <v>99</v>
      </c>
      <c r="C513" s="1">
        <v>0.70199999999999996</v>
      </c>
      <c r="D513" s="1">
        <v>1</v>
      </c>
      <c r="E513">
        <v>5215</v>
      </c>
      <c r="F513">
        <v>3654</v>
      </c>
      <c r="I513" s="1">
        <v>94.313999999999993</v>
      </c>
      <c r="J513">
        <v>0</v>
      </c>
      <c r="M513" t="b">
        <f t="shared" si="55"/>
        <v>0</v>
      </c>
      <c r="N513">
        <f t="shared" si="50"/>
        <v>1</v>
      </c>
      <c r="O513">
        <f t="shared" si="51"/>
        <v>1</v>
      </c>
      <c r="P513">
        <f t="shared" si="56"/>
        <v>2</v>
      </c>
      <c r="R513">
        <f t="shared" si="52"/>
        <v>2</v>
      </c>
      <c r="S513">
        <f t="shared" si="53"/>
        <v>18</v>
      </c>
      <c r="T513">
        <f t="shared" si="54"/>
        <v>0</v>
      </c>
    </row>
    <row r="514" spans="1:20" x14ac:dyDescent="0.2">
      <c r="A514" s="1">
        <v>89</v>
      </c>
      <c r="B514" s="1" t="s">
        <v>99</v>
      </c>
      <c r="C514" s="1">
        <v>0.70199999999999996</v>
      </c>
      <c r="D514" s="1">
        <v>0</v>
      </c>
      <c r="E514">
        <v>2002</v>
      </c>
      <c r="F514">
        <v>1407</v>
      </c>
      <c r="I514" s="1">
        <v>49.984999999999999</v>
      </c>
      <c r="J514">
        <v>2.198</v>
      </c>
      <c r="M514" t="b">
        <f t="shared" si="55"/>
        <v>1</v>
      </c>
      <c r="N514">
        <f t="shared" si="50"/>
        <v>1</v>
      </c>
      <c r="O514">
        <f t="shared" si="51"/>
        <v>0</v>
      </c>
      <c r="P514">
        <f t="shared" si="56"/>
        <v>3</v>
      </c>
      <c r="R514">
        <f t="shared" si="52"/>
        <v>3</v>
      </c>
      <c r="S514">
        <f t="shared" si="53"/>
        <v>18</v>
      </c>
      <c r="T514">
        <f t="shared" si="54"/>
        <v>0</v>
      </c>
    </row>
    <row r="515" spans="1:20" x14ac:dyDescent="0.2">
      <c r="A515" s="1">
        <v>89</v>
      </c>
      <c r="B515" s="1" t="s">
        <v>99</v>
      </c>
      <c r="C515" s="1">
        <v>0.70199999999999996</v>
      </c>
      <c r="D515" s="1">
        <v>0</v>
      </c>
      <c r="G515">
        <v>1165</v>
      </c>
      <c r="H515">
        <v>1322</v>
      </c>
      <c r="I515" s="1">
        <v>30.661999999999999</v>
      </c>
      <c r="K515">
        <v>-18.109000000000002</v>
      </c>
      <c r="M515" t="b">
        <f t="shared" si="55"/>
        <v>1</v>
      </c>
      <c r="N515">
        <f t="shared" ref="N515:N578" si="57">IF(A515&gt;0,IF(E515&gt;0,1,0),0)</f>
        <v>0</v>
      </c>
      <c r="O515">
        <f t="shared" ref="O515:O578" si="58">D515</f>
        <v>0</v>
      </c>
      <c r="P515">
        <f t="shared" si="56"/>
        <v>4</v>
      </c>
      <c r="R515">
        <f t="shared" ref="R515:R578" si="59">IF(A515&gt;0,IF(A515=A514,R514+1,1),0)</f>
        <v>4</v>
      </c>
      <c r="S515">
        <f t="shared" si="53"/>
        <v>18</v>
      </c>
      <c r="T515">
        <f t="shared" si="54"/>
        <v>0</v>
      </c>
    </row>
    <row r="516" spans="1:20" x14ac:dyDescent="0.2">
      <c r="A516" s="1">
        <v>89</v>
      </c>
      <c r="B516" s="1" t="s">
        <v>99</v>
      </c>
      <c r="C516" s="1">
        <v>0.70199999999999996</v>
      </c>
      <c r="D516" s="1">
        <v>0</v>
      </c>
      <c r="G516">
        <v>4201</v>
      </c>
      <c r="H516">
        <v>4838</v>
      </c>
      <c r="I516" s="1">
        <v>76.442999999999998</v>
      </c>
      <c r="K516">
        <v>0.26100000000000001</v>
      </c>
      <c r="M516" t="b">
        <f t="shared" si="55"/>
        <v>0</v>
      </c>
      <c r="N516">
        <f t="shared" si="57"/>
        <v>0</v>
      </c>
      <c r="O516">
        <f t="shared" si="58"/>
        <v>0</v>
      </c>
      <c r="P516">
        <f t="shared" si="56"/>
        <v>5</v>
      </c>
      <c r="R516">
        <f t="shared" si="59"/>
        <v>5</v>
      </c>
      <c r="S516">
        <f t="shared" ref="S516:S579" si="60">IF(A516&gt;0,IF(OR(R516=P516,P516-R516=P515-R515),S515,S515+P516-R516),0)</f>
        <v>18</v>
      </c>
      <c r="T516">
        <f t="shared" ref="T516:T579" si="61">IF(A516&gt;0,IF(AND(P516=6,P515=3,R516=4),T515+1,T515),0)</f>
        <v>0</v>
      </c>
    </row>
    <row r="517" spans="1:20" x14ac:dyDescent="0.2">
      <c r="A517" s="1">
        <v>89</v>
      </c>
      <c r="B517" s="1" t="s">
        <v>99</v>
      </c>
      <c r="C517" s="1">
        <v>0.70199999999999996</v>
      </c>
      <c r="D517" s="1">
        <v>1</v>
      </c>
      <c r="G517">
        <v>4197</v>
      </c>
      <c r="H517">
        <v>4832</v>
      </c>
      <c r="I517" s="1">
        <v>76.676000000000002</v>
      </c>
      <c r="K517">
        <v>0</v>
      </c>
      <c r="M517" t="b">
        <f t="shared" ref="M517:M580" si="62">IF(A517&gt;0,OR(AND(O517=0,O516=1,N516=1,N517=1),AND(O517=0,O519=1,N519=0)),0)</f>
        <v>0</v>
      </c>
      <c r="N517">
        <f t="shared" si="57"/>
        <v>0</v>
      </c>
      <c r="O517">
        <f t="shared" si="58"/>
        <v>1</v>
      </c>
      <c r="P517">
        <f t="shared" si="56"/>
        <v>6</v>
      </c>
      <c r="R517">
        <f t="shared" si="59"/>
        <v>6</v>
      </c>
      <c r="S517">
        <f t="shared" si="60"/>
        <v>18</v>
      </c>
      <c r="T517">
        <f t="shared" si="61"/>
        <v>0</v>
      </c>
    </row>
    <row r="518" spans="1:20" x14ac:dyDescent="0.2">
      <c r="A518" s="1">
        <v>90</v>
      </c>
      <c r="B518" s="1" t="s">
        <v>100</v>
      </c>
      <c r="C518" s="1">
        <v>0.69699999999999995</v>
      </c>
      <c r="D518" s="1">
        <v>0</v>
      </c>
      <c r="E518">
        <v>5219</v>
      </c>
      <c r="F518">
        <v>3657</v>
      </c>
      <c r="I518" s="1">
        <v>94.32</v>
      </c>
      <c r="J518">
        <v>8.3000000000000004E-2</v>
      </c>
      <c r="M518" t="b">
        <f t="shared" si="62"/>
        <v>0</v>
      </c>
      <c r="N518">
        <f t="shared" si="57"/>
        <v>1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1</v>
      </c>
      <c r="R518">
        <f t="shared" si="59"/>
        <v>1</v>
      </c>
      <c r="S518">
        <f t="shared" si="60"/>
        <v>18</v>
      </c>
      <c r="T518">
        <f t="shared" si="61"/>
        <v>0</v>
      </c>
    </row>
    <row r="519" spans="1:20" x14ac:dyDescent="0.2">
      <c r="A519" s="1">
        <v>90</v>
      </c>
      <c r="B519" s="1" t="s">
        <v>100</v>
      </c>
      <c r="C519" s="1">
        <v>0.69699999999999995</v>
      </c>
      <c r="D519" s="1">
        <v>1</v>
      </c>
      <c r="E519">
        <v>5218</v>
      </c>
      <c r="F519">
        <v>3655</v>
      </c>
      <c r="I519" s="1">
        <v>94.325000000000003</v>
      </c>
      <c r="J519">
        <v>0</v>
      </c>
      <c r="M519" t="b">
        <f t="shared" si="62"/>
        <v>0</v>
      </c>
      <c r="N519">
        <f t="shared" si="57"/>
        <v>1</v>
      </c>
      <c r="O519">
        <f t="shared" si="58"/>
        <v>1</v>
      </c>
      <c r="P519">
        <f t="shared" si="63"/>
        <v>2</v>
      </c>
      <c r="R519">
        <f t="shared" si="59"/>
        <v>2</v>
      </c>
      <c r="S519">
        <f t="shared" si="60"/>
        <v>18</v>
      </c>
      <c r="T519">
        <f t="shared" si="61"/>
        <v>0</v>
      </c>
    </row>
    <row r="520" spans="1:20" x14ac:dyDescent="0.2">
      <c r="A520" s="1">
        <v>90</v>
      </c>
      <c r="B520" s="1" t="s">
        <v>100</v>
      </c>
      <c r="C520" s="1">
        <v>0.69699999999999995</v>
      </c>
      <c r="D520" s="1">
        <v>0</v>
      </c>
      <c r="E520">
        <v>3157</v>
      </c>
      <c r="F520">
        <v>2212</v>
      </c>
      <c r="I520" s="1">
        <v>79.447999999999993</v>
      </c>
      <c r="J520">
        <v>-0.70599999999999996</v>
      </c>
      <c r="M520" t="b">
        <f t="shared" si="62"/>
        <v>1</v>
      </c>
      <c r="N520">
        <f t="shared" si="57"/>
        <v>1</v>
      </c>
      <c r="O520">
        <f t="shared" si="58"/>
        <v>0</v>
      </c>
      <c r="P520">
        <f t="shared" si="63"/>
        <v>3</v>
      </c>
      <c r="R520">
        <f t="shared" si="59"/>
        <v>3</v>
      </c>
      <c r="S520">
        <f t="shared" si="60"/>
        <v>18</v>
      </c>
      <c r="T520">
        <f t="shared" si="61"/>
        <v>0</v>
      </c>
    </row>
    <row r="521" spans="1:20" x14ac:dyDescent="0.2">
      <c r="A521" s="1">
        <v>90</v>
      </c>
      <c r="B521" s="1" t="s">
        <v>100</v>
      </c>
      <c r="C521" s="1">
        <v>0.69699999999999995</v>
      </c>
      <c r="D521" s="1">
        <v>0</v>
      </c>
      <c r="G521">
        <v>698</v>
      </c>
      <c r="H521">
        <v>792</v>
      </c>
      <c r="I521" s="1">
        <v>18.178999999999998</v>
      </c>
      <c r="K521">
        <v>-16.917999999999999</v>
      </c>
      <c r="M521" t="b">
        <f t="shared" si="62"/>
        <v>1</v>
      </c>
      <c r="N521">
        <f t="shared" si="57"/>
        <v>0</v>
      </c>
      <c r="O521">
        <f t="shared" si="58"/>
        <v>0</v>
      </c>
      <c r="P521">
        <f t="shared" si="63"/>
        <v>4</v>
      </c>
      <c r="R521">
        <f t="shared" si="59"/>
        <v>4</v>
      </c>
      <c r="S521">
        <f t="shared" si="60"/>
        <v>18</v>
      </c>
      <c r="T521">
        <f t="shared" si="61"/>
        <v>0</v>
      </c>
    </row>
    <row r="522" spans="1:20" x14ac:dyDescent="0.2">
      <c r="A522" s="1">
        <v>90</v>
      </c>
      <c r="B522" s="1" t="s">
        <v>100</v>
      </c>
      <c r="C522" s="1">
        <v>0.69699999999999995</v>
      </c>
      <c r="D522" s="1">
        <v>0</v>
      </c>
      <c r="G522">
        <v>4204</v>
      </c>
      <c r="H522">
        <v>4841</v>
      </c>
      <c r="I522" s="1">
        <v>76.454999999999998</v>
      </c>
      <c r="K522">
        <v>0.28000000000000003</v>
      </c>
      <c r="M522" t="b">
        <f t="shared" si="62"/>
        <v>0</v>
      </c>
      <c r="N522">
        <f t="shared" si="57"/>
        <v>0</v>
      </c>
      <c r="O522">
        <f t="shared" si="58"/>
        <v>0</v>
      </c>
      <c r="P522">
        <f t="shared" si="63"/>
        <v>5</v>
      </c>
      <c r="R522">
        <f t="shared" si="59"/>
        <v>5</v>
      </c>
      <c r="S522">
        <f t="shared" si="60"/>
        <v>18</v>
      </c>
      <c r="T522">
        <f t="shared" si="61"/>
        <v>0</v>
      </c>
    </row>
    <row r="523" spans="1:20" x14ac:dyDescent="0.2">
      <c r="A523" s="1">
        <v>90</v>
      </c>
      <c r="B523" s="1" t="s">
        <v>100</v>
      </c>
      <c r="C523" s="1">
        <v>0.69699999999999995</v>
      </c>
      <c r="D523" s="1">
        <v>1</v>
      </c>
      <c r="G523">
        <v>4201</v>
      </c>
      <c r="H523">
        <v>4836</v>
      </c>
      <c r="I523" s="1">
        <v>76.793000000000006</v>
      </c>
      <c r="K523">
        <v>0</v>
      </c>
      <c r="M523" t="b">
        <f t="shared" si="62"/>
        <v>0</v>
      </c>
      <c r="N523">
        <f t="shared" si="57"/>
        <v>0</v>
      </c>
      <c r="O523">
        <f t="shared" si="58"/>
        <v>1</v>
      </c>
      <c r="P523">
        <f t="shared" si="63"/>
        <v>6</v>
      </c>
      <c r="R523">
        <f t="shared" si="59"/>
        <v>6</v>
      </c>
      <c r="S523">
        <f t="shared" si="60"/>
        <v>18</v>
      </c>
      <c r="T523">
        <f t="shared" si="61"/>
        <v>0</v>
      </c>
    </row>
    <row r="524" spans="1:20" x14ac:dyDescent="0.2">
      <c r="A524" s="1">
        <v>91</v>
      </c>
      <c r="B524" s="1" t="s">
        <v>101</v>
      </c>
      <c r="C524" s="1">
        <v>0.69799999999999995</v>
      </c>
      <c r="D524" s="1">
        <v>0</v>
      </c>
      <c r="E524">
        <v>5222</v>
      </c>
      <c r="F524">
        <v>3659</v>
      </c>
      <c r="I524" s="1">
        <v>94.46</v>
      </c>
      <c r="J524">
        <v>9.1999999999999998E-2</v>
      </c>
      <c r="M524" t="b">
        <f t="shared" si="62"/>
        <v>0</v>
      </c>
      <c r="N524">
        <f t="shared" si="57"/>
        <v>1</v>
      </c>
      <c r="O524">
        <f t="shared" si="58"/>
        <v>0</v>
      </c>
      <c r="P524">
        <f t="shared" si="63"/>
        <v>1</v>
      </c>
      <c r="R524">
        <f t="shared" si="59"/>
        <v>1</v>
      </c>
      <c r="S524">
        <f t="shared" si="60"/>
        <v>18</v>
      </c>
      <c r="T524">
        <f t="shared" si="61"/>
        <v>0</v>
      </c>
    </row>
    <row r="525" spans="1:20" x14ac:dyDescent="0.2">
      <c r="A525" s="1">
        <v>91</v>
      </c>
      <c r="B525" s="1" t="s">
        <v>101</v>
      </c>
      <c r="C525" s="1">
        <v>0.69799999999999995</v>
      </c>
      <c r="D525" s="1">
        <v>1</v>
      </c>
      <c r="E525">
        <v>5221</v>
      </c>
      <c r="F525">
        <v>3658</v>
      </c>
      <c r="I525" s="1">
        <v>94.373000000000005</v>
      </c>
      <c r="J525">
        <v>0</v>
      </c>
      <c r="M525" t="b">
        <f t="shared" si="62"/>
        <v>0</v>
      </c>
      <c r="N525">
        <f t="shared" si="57"/>
        <v>1</v>
      </c>
      <c r="O525">
        <f t="shared" si="58"/>
        <v>1</v>
      </c>
      <c r="P525">
        <f t="shared" si="63"/>
        <v>2</v>
      </c>
      <c r="R525">
        <f t="shared" si="59"/>
        <v>2</v>
      </c>
      <c r="S525">
        <f t="shared" si="60"/>
        <v>18</v>
      </c>
      <c r="T525">
        <f t="shared" si="61"/>
        <v>0</v>
      </c>
    </row>
    <row r="526" spans="1:20" x14ac:dyDescent="0.2">
      <c r="A526" s="1">
        <v>91</v>
      </c>
      <c r="B526" s="1" t="s">
        <v>101</v>
      </c>
      <c r="C526" s="1">
        <v>0.69799999999999995</v>
      </c>
      <c r="D526" s="1">
        <v>0</v>
      </c>
      <c r="E526">
        <v>3603</v>
      </c>
      <c r="F526">
        <v>2543</v>
      </c>
      <c r="I526" s="1">
        <v>90.71</v>
      </c>
      <c r="J526">
        <v>6.56</v>
      </c>
      <c r="M526" t="b">
        <f t="shared" si="62"/>
        <v>1</v>
      </c>
      <c r="N526">
        <f t="shared" si="57"/>
        <v>1</v>
      </c>
      <c r="O526">
        <f t="shared" si="58"/>
        <v>0</v>
      </c>
      <c r="P526">
        <f t="shared" si="63"/>
        <v>3</v>
      </c>
      <c r="R526">
        <f t="shared" si="59"/>
        <v>3</v>
      </c>
      <c r="S526">
        <f t="shared" si="60"/>
        <v>18</v>
      </c>
      <c r="T526">
        <f t="shared" si="61"/>
        <v>0</v>
      </c>
    </row>
    <row r="527" spans="1:20" x14ac:dyDescent="0.2">
      <c r="A527" s="1">
        <v>91</v>
      </c>
      <c r="B527" s="1" t="s">
        <v>101</v>
      </c>
      <c r="C527" s="1">
        <v>0.69799999999999995</v>
      </c>
      <c r="D527" s="1">
        <v>0</v>
      </c>
      <c r="G527">
        <v>535</v>
      </c>
      <c r="H527">
        <v>600</v>
      </c>
      <c r="I527" s="1">
        <v>13.818</v>
      </c>
      <c r="K527">
        <v>-27.977</v>
      </c>
      <c r="M527" t="b">
        <f t="shared" si="62"/>
        <v>1</v>
      </c>
      <c r="N527">
        <f t="shared" si="57"/>
        <v>0</v>
      </c>
      <c r="O527">
        <f t="shared" si="58"/>
        <v>0</v>
      </c>
      <c r="P527">
        <f t="shared" si="63"/>
        <v>4</v>
      </c>
      <c r="R527">
        <f t="shared" si="59"/>
        <v>4</v>
      </c>
      <c r="S527">
        <f t="shared" si="60"/>
        <v>18</v>
      </c>
      <c r="T527">
        <f t="shared" si="61"/>
        <v>0</v>
      </c>
    </row>
    <row r="528" spans="1:20" x14ac:dyDescent="0.2">
      <c r="A528" s="1">
        <v>91</v>
      </c>
      <c r="B528" s="1" t="s">
        <v>101</v>
      </c>
      <c r="C528" s="1">
        <v>0.69799999999999995</v>
      </c>
      <c r="D528" s="1">
        <v>0</v>
      </c>
      <c r="G528">
        <v>4206</v>
      </c>
      <c r="H528">
        <v>4843</v>
      </c>
      <c r="I528" s="1">
        <v>76.53</v>
      </c>
      <c r="K528">
        <v>0.25</v>
      </c>
      <c r="M528" t="b">
        <f t="shared" si="62"/>
        <v>0</v>
      </c>
      <c r="N528">
        <f t="shared" si="57"/>
        <v>0</v>
      </c>
      <c r="O528">
        <f t="shared" si="58"/>
        <v>0</v>
      </c>
      <c r="P528">
        <f t="shared" si="63"/>
        <v>5</v>
      </c>
      <c r="R528">
        <f t="shared" si="59"/>
        <v>5</v>
      </c>
      <c r="S528">
        <f t="shared" si="60"/>
        <v>18</v>
      </c>
      <c r="T528">
        <f t="shared" si="61"/>
        <v>0</v>
      </c>
    </row>
    <row r="529" spans="1:20" x14ac:dyDescent="0.2">
      <c r="A529" s="1">
        <v>91</v>
      </c>
      <c r="B529" s="1" t="s">
        <v>101</v>
      </c>
      <c r="C529" s="1">
        <v>0.69799999999999995</v>
      </c>
      <c r="D529" s="1">
        <v>1</v>
      </c>
      <c r="G529">
        <v>4202</v>
      </c>
      <c r="H529">
        <v>4837</v>
      </c>
      <c r="I529" s="1">
        <v>76.802999999999997</v>
      </c>
      <c r="K529">
        <v>0</v>
      </c>
      <c r="M529" t="b">
        <f t="shared" si="62"/>
        <v>0</v>
      </c>
      <c r="N529">
        <f t="shared" si="57"/>
        <v>0</v>
      </c>
      <c r="O529">
        <f t="shared" si="58"/>
        <v>1</v>
      </c>
      <c r="P529">
        <f t="shared" si="63"/>
        <v>6</v>
      </c>
      <c r="R529">
        <f t="shared" si="59"/>
        <v>6</v>
      </c>
      <c r="S529">
        <f t="shared" si="60"/>
        <v>18</v>
      </c>
      <c r="T529">
        <f t="shared" si="61"/>
        <v>0</v>
      </c>
    </row>
    <row r="530" spans="1:20" x14ac:dyDescent="0.2">
      <c r="A530" s="1">
        <v>92</v>
      </c>
      <c r="B530" s="1" t="s">
        <v>102</v>
      </c>
      <c r="C530" s="1">
        <v>0.70099999999999996</v>
      </c>
      <c r="D530" s="1">
        <v>0</v>
      </c>
      <c r="E530">
        <v>5220</v>
      </c>
      <c r="F530">
        <v>3658</v>
      </c>
      <c r="I530" s="1">
        <v>94.546000000000006</v>
      </c>
      <c r="J530">
        <v>6.4000000000000001E-2</v>
      </c>
      <c r="M530" t="b">
        <f t="shared" si="62"/>
        <v>0</v>
      </c>
      <c r="N530">
        <f t="shared" si="57"/>
        <v>1</v>
      </c>
      <c r="O530">
        <f t="shared" si="58"/>
        <v>0</v>
      </c>
      <c r="P530">
        <f t="shared" si="63"/>
        <v>1</v>
      </c>
      <c r="R530">
        <f t="shared" si="59"/>
        <v>1</v>
      </c>
      <c r="S530">
        <f t="shared" si="60"/>
        <v>18</v>
      </c>
      <c r="T530">
        <f t="shared" si="61"/>
        <v>0</v>
      </c>
    </row>
    <row r="531" spans="1:20" x14ac:dyDescent="0.2">
      <c r="A531" s="1">
        <v>92</v>
      </c>
      <c r="B531" s="1" t="s">
        <v>102</v>
      </c>
      <c r="C531" s="1">
        <v>0.70099999999999996</v>
      </c>
      <c r="D531" s="1">
        <v>1</v>
      </c>
      <c r="E531">
        <v>5220</v>
      </c>
      <c r="F531">
        <v>3657</v>
      </c>
      <c r="I531" s="1">
        <v>94.396000000000001</v>
      </c>
      <c r="J531">
        <v>0</v>
      </c>
      <c r="M531" t="b">
        <f t="shared" si="62"/>
        <v>0</v>
      </c>
      <c r="N531">
        <f t="shared" si="57"/>
        <v>1</v>
      </c>
      <c r="O531">
        <f t="shared" si="58"/>
        <v>1</v>
      </c>
      <c r="P531">
        <f t="shared" si="63"/>
        <v>2</v>
      </c>
      <c r="R531">
        <f t="shared" si="59"/>
        <v>2</v>
      </c>
      <c r="S531">
        <f t="shared" si="60"/>
        <v>18</v>
      </c>
      <c r="T531">
        <f t="shared" si="61"/>
        <v>0</v>
      </c>
    </row>
    <row r="532" spans="1:20" x14ac:dyDescent="0.2">
      <c r="A532" s="1">
        <v>92</v>
      </c>
      <c r="B532" s="1" t="s">
        <v>102</v>
      </c>
      <c r="C532" s="1">
        <v>0.70099999999999996</v>
      </c>
      <c r="D532" s="1">
        <v>0</v>
      </c>
      <c r="E532">
        <v>1820</v>
      </c>
      <c r="F532">
        <v>1277</v>
      </c>
      <c r="I532" s="1">
        <v>45.863999999999997</v>
      </c>
      <c r="J532">
        <v>0.47799999999999998</v>
      </c>
      <c r="M532" t="b">
        <f t="shared" si="62"/>
        <v>1</v>
      </c>
      <c r="N532">
        <f t="shared" si="57"/>
        <v>1</v>
      </c>
      <c r="O532">
        <f t="shared" si="58"/>
        <v>0</v>
      </c>
      <c r="P532">
        <f t="shared" si="63"/>
        <v>3</v>
      </c>
      <c r="R532">
        <f t="shared" si="59"/>
        <v>3</v>
      </c>
      <c r="S532">
        <f t="shared" si="60"/>
        <v>18</v>
      </c>
      <c r="T532">
        <f t="shared" si="61"/>
        <v>0</v>
      </c>
    </row>
    <row r="533" spans="1:20" x14ac:dyDescent="0.2">
      <c r="A533" s="1">
        <v>92</v>
      </c>
      <c r="B533" s="1" t="s">
        <v>102</v>
      </c>
      <c r="C533" s="1">
        <v>0.70099999999999996</v>
      </c>
      <c r="D533" s="1">
        <v>0</v>
      </c>
      <c r="G533">
        <v>672</v>
      </c>
      <c r="H533">
        <v>763</v>
      </c>
      <c r="I533" s="1">
        <v>17.481000000000002</v>
      </c>
      <c r="K533">
        <v>-17.201000000000001</v>
      </c>
      <c r="M533" t="b">
        <f t="shared" si="62"/>
        <v>1</v>
      </c>
      <c r="N533">
        <f t="shared" si="57"/>
        <v>0</v>
      </c>
      <c r="O533">
        <f t="shared" si="58"/>
        <v>0</v>
      </c>
      <c r="P533">
        <f t="shared" si="63"/>
        <v>4</v>
      </c>
      <c r="R533">
        <f t="shared" si="59"/>
        <v>4</v>
      </c>
      <c r="S533">
        <f t="shared" si="60"/>
        <v>18</v>
      </c>
      <c r="T533">
        <f t="shared" si="61"/>
        <v>0</v>
      </c>
    </row>
    <row r="534" spans="1:20" x14ac:dyDescent="0.2">
      <c r="A534" s="1">
        <v>92</v>
      </c>
      <c r="B534" s="1" t="s">
        <v>102</v>
      </c>
      <c r="C534" s="1">
        <v>0.70099999999999996</v>
      </c>
      <c r="D534" s="1">
        <v>0</v>
      </c>
      <c r="G534">
        <v>4205</v>
      </c>
      <c r="H534">
        <v>4842</v>
      </c>
      <c r="I534" s="1">
        <v>76.409000000000006</v>
      </c>
      <c r="K534">
        <v>0.28299999999999997</v>
      </c>
      <c r="M534" t="b">
        <f t="shared" si="62"/>
        <v>0</v>
      </c>
      <c r="N534">
        <f t="shared" si="57"/>
        <v>0</v>
      </c>
      <c r="O534">
        <f t="shared" si="58"/>
        <v>0</v>
      </c>
      <c r="P534">
        <f t="shared" si="63"/>
        <v>5</v>
      </c>
      <c r="R534">
        <f t="shared" si="59"/>
        <v>5</v>
      </c>
      <c r="S534">
        <f t="shared" si="60"/>
        <v>18</v>
      </c>
      <c r="T534">
        <f t="shared" si="61"/>
        <v>0</v>
      </c>
    </row>
    <row r="535" spans="1:20" x14ac:dyDescent="0.2">
      <c r="A535" s="1">
        <v>92</v>
      </c>
      <c r="B535" s="1" t="s">
        <v>102</v>
      </c>
      <c r="C535" s="1">
        <v>0.70099999999999996</v>
      </c>
      <c r="D535" s="1">
        <v>1</v>
      </c>
      <c r="G535">
        <v>4200</v>
      </c>
      <c r="H535">
        <v>4836</v>
      </c>
      <c r="I535" s="1">
        <v>76.727999999999994</v>
      </c>
      <c r="K535">
        <v>0</v>
      </c>
      <c r="M535" t="b">
        <f t="shared" si="62"/>
        <v>0</v>
      </c>
      <c r="N535">
        <f t="shared" si="57"/>
        <v>0</v>
      </c>
      <c r="O535">
        <f t="shared" si="58"/>
        <v>1</v>
      </c>
      <c r="P535">
        <f t="shared" si="63"/>
        <v>6</v>
      </c>
      <c r="R535">
        <f t="shared" si="59"/>
        <v>6</v>
      </c>
      <c r="S535">
        <f t="shared" si="60"/>
        <v>18</v>
      </c>
      <c r="T535">
        <f t="shared" si="61"/>
        <v>0</v>
      </c>
    </row>
    <row r="536" spans="1:20" x14ac:dyDescent="0.2">
      <c r="A536" s="1">
        <v>93</v>
      </c>
      <c r="B536" s="1" t="s">
        <v>103</v>
      </c>
      <c r="C536" s="1">
        <v>0.69899999999999995</v>
      </c>
      <c r="D536" s="1">
        <v>0</v>
      </c>
      <c r="E536">
        <v>5221</v>
      </c>
      <c r="F536">
        <v>3658</v>
      </c>
      <c r="I536" s="1">
        <v>94.453000000000003</v>
      </c>
      <c r="J536">
        <v>0.109</v>
      </c>
      <c r="M536" t="b">
        <f t="shared" si="62"/>
        <v>0</v>
      </c>
      <c r="N536">
        <f t="shared" si="57"/>
        <v>1</v>
      </c>
      <c r="O536">
        <f t="shared" si="58"/>
        <v>0</v>
      </c>
      <c r="P536">
        <f t="shared" si="63"/>
        <v>1</v>
      </c>
      <c r="R536">
        <f t="shared" si="59"/>
        <v>1</v>
      </c>
      <c r="S536">
        <f t="shared" si="60"/>
        <v>18</v>
      </c>
      <c r="T536">
        <f t="shared" si="61"/>
        <v>0</v>
      </c>
    </row>
    <row r="537" spans="1:20" x14ac:dyDescent="0.2">
      <c r="A537" s="1">
        <v>93</v>
      </c>
      <c r="B537" s="1" t="s">
        <v>103</v>
      </c>
      <c r="C537" s="1">
        <v>0.69899999999999995</v>
      </c>
      <c r="D537" s="1">
        <v>1</v>
      </c>
      <c r="E537">
        <v>5218</v>
      </c>
      <c r="F537">
        <v>3656</v>
      </c>
      <c r="I537" s="1">
        <v>94.424000000000007</v>
      </c>
      <c r="J537">
        <v>0</v>
      </c>
      <c r="M537" t="b">
        <f t="shared" si="62"/>
        <v>0</v>
      </c>
      <c r="N537">
        <f t="shared" si="57"/>
        <v>1</v>
      </c>
      <c r="O537">
        <f t="shared" si="58"/>
        <v>1</v>
      </c>
      <c r="P537">
        <f t="shared" si="63"/>
        <v>2</v>
      </c>
      <c r="R537">
        <f t="shared" si="59"/>
        <v>2</v>
      </c>
      <c r="S537">
        <f t="shared" si="60"/>
        <v>18</v>
      </c>
      <c r="T537">
        <f t="shared" si="61"/>
        <v>0</v>
      </c>
    </row>
    <row r="538" spans="1:20" x14ac:dyDescent="0.2">
      <c r="A538" s="1">
        <v>93</v>
      </c>
      <c r="B538" s="1" t="s">
        <v>103</v>
      </c>
      <c r="C538" s="1">
        <v>0.69899999999999995</v>
      </c>
      <c r="D538" s="1">
        <v>0</v>
      </c>
      <c r="E538">
        <v>1829</v>
      </c>
      <c r="F538">
        <v>1280</v>
      </c>
      <c r="I538" s="1">
        <v>46.219000000000001</v>
      </c>
      <c r="J538">
        <v>-2.2360000000000002</v>
      </c>
      <c r="M538" t="b">
        <f t="shared" si="62"/>
        <v>1</v>
      </c>
      <c r="N538">
        <f t="shared" si="57"/>
        <v>1</v>
      </c>
      <c r="O538">
        <f t="shared" si="58"/>
        <v>0</v>
      </c>
      <c r="P538">
        <f t="shared" si="63"/>
        <v>3</v>
      </c>
      <c r="R538">
        <f t="shared" si="59"/>
        <v>3</v>
      </c>
      <c r="S538">
        <f t="shared" si="60"/>
        <v>18</v>
      </c>
      <c r="T538">
        <f t="shared" si="61"/>
        <v>0</v>
      </c>
    </row>
    <row r="539" spans="1:20" x14ac:dyDescent="0.2">
      <c r="A539" s="1">
        <v>93</v>
      </c>
      <c r="B539" s="1" t="s">
        <v>103</v>
      </c>
      <c r="C539" s="1">
        <v>0.69899999999999995</v>
      </c>
      <c r="D539" s="1">
        <v>0</v>
      </c>
      <c r="G539">
        <v>679</v>
      </c>
      <c r="H539">
        <v>772</v>
      </c>
      <c r="I539" s="1">
        <v>17.693000000000001</v>
      </c>
      <c r="K539">
        <v>-14.201000000000001</v>
      </c>
      <c r="M539" t="b">
        <f t="shared" si="62"/>
        <v>1</v>
      </c>
      <c r="N539">
        <f t="shared" si="57"/>
        <v>0</v>
      </c>
      <c r="O539">
        <f t="shared" si="58"/>
        <v>0</v>
      </c>
      <c r="P539">
        <f t="shared" si="63"/>
        <v>4</v>
      </c>
      <c r="R539">
        <f t="shared" si="59"/>
        <v>4</v>
      </c>
      <c r="S539">
        <f t="shared" si="60"/>
        <v>18</v>
      </c>
      <c r="T539">
        <f t="shared" si="61"/>
        <v>0</v>
      </c>
    </row>
    <row r="540" spans="1:20" x14ac:dyDescent="0.2">
      <c r="A540" s="1">
        <v>93</v>
      </c>
      <c r="B540" s="1" t="s">
        <v>103</v>
      </c>
      <c r="C540" s="1">
        <v>0.69899999999999995</v>
      </c>
      <c r="D540" s="1">
        <v>0</v>
      </c>
      <c r="G540">
        <v>4201</v>
      </c>
      <c r="H540">
        <v>4839</v>
      </c>
      <c r="I540" s="1">
        <v>76.349000000000004</v>
      </c>
      <c r="K540">
        <v>0.28599999999999998</v>
      </c>
      <c r="M540" t="b">
        <f t="shared" si="62"/>
        <v>0</v>
      </c>
      <c r="N540">
        <f t="shared" si="57"/>
        <v>0</v>
      </c>
      <c r="O540">
        <f t="shared" si="58"/>
        <v>0</v>
      </c>
      <c r="P540">
        <f t="shared" si="63"/>
        <v>5</v>
      </c>
      <c r="R540">
        <f t="shared" si="59"/>
        <v>5</v>
      </c>
      <c r="S540">
        <f t="shared" si="60"/>
        <v>18</v>
      </c>
      <c r="T540">
        <f t="shared" si="61"/>
        <v>0</v>
      </c>
    </row>
    <row r="541" spans="1:20" x14ac:dyDescent="0.2">
      <c r="A541" s="1">
        <v>93</v>
      </c>
      <c r="B541" s="1" t="s">
        <v>103</v>
      </c>
      <c r="C541" s="1">
        <v>0.69899999999999995</v>
      </c>
      <c r="D541" s="1">
        <v>1</v>
      </c>
      <c r="G541">
        <v>4197</v>
      </c>
      <c r="H541">
        <v>4832</v>
      </c>
      <c r="I541" s="1">
        <v>76.686999999999998</v>
      </c>
      <c r="K541">
        <v>0</v>
      </c>
      <c r="M541" t="b">
        <f t="shared" si="62"/>
        <v>0</v>
      </c>
      <c r="N541">
        <f t="shared" si="57"/>
        <v>0</v>
      </c>
      <c r="O541">
        <f t="shared" si="58"/>
        <v>1</v>
      </c>
      <c r="P541">
        <f t="shared" si="63"/>
        <v>6</v>
      </c>
      <c r="R541">
        <f t="shared" si="59"/>
        <v>6</v>
      </c>
      <c r="S541">
        <f t="shared" si="60"/>
        <v>18</v>
      </c>
      <c r="T541">
        <f t="shared" si="61"/>
        <v>0</v>
      </c>
    </row>
    <row r="542" spans="1:20" x14ac:dyDescent="0.2">
      <c r="A542" s="1">
        <v>94</v>
      </c>
      <c r="B542" s="1" t="s">
        <v>104</v>
      </c>
      <c r="C542" s="1">
        <v>1.998</v>
      </c>
      <c r="D542" s="1">
        <v>0</v>
      </c>
      <c r="E542">
        <v>5215</v>
      </c>
      <c r="F542">
        <v>3654</v>
      </c>
      <c r="I542" s="1">
        <v>94.268000000000001</v>
      </c>
      <c r="J542">
        <v>7.6999999999999999E-2</v>
      </c>
      <c r="M542" t="b">
        <f t="shared" si="62"/>
        <v>0</v>
      </c>
      <c r="N542">
        <f t="shared" si="57"/>
        <v>1</v>
      </c>
      <c r="O542">
        <f t="shared" si="58"/>
        <v>0</v>
      </c>
      <c r="P542">
        <f t="shared" si="63"/>
        <v>1</v>
      </c>
      <c r="R542">
        <f t="shared" si="59"/>
        <v>1</v>
      </c>
      <c r="S542">
        <f t="shared" si="60"/>
        <v>18</v>
      </c>
      <c r="T542">
        <f t="shared" si="61"/>
        <v>0</v>
      </c>
    </row>
    <row r="543" spans="1:20" x14ac:dyDescent="0.2">
      <c r="A543" s="1">
        <v>94</v>
      </c>
      <c r="B543" s="1" t="s">
        <v>104</v>
      </c>
      <c r="C543" s="1">
        <v>1.998</v>
      </c>
      <c r="D543" s="1">
        <v>1</v>
      </c>
      <c r="E543">
        <v>5212</v>
      </c>
      <c r="F543">
        <v>3652</v>
      </c>
      <c r="I543" s="1">
        <v>94.245999999999995</v>
      </c>
      <c r="J543">
        <v>0</v>
      </c>
      <c r="M543" t="b">
        <f t="shared" si="62"/>
        <v>0</v>
      </c>
      <c r="N543">
        <f t="shared" si="57"/>
        <v>1</v>
      </c>
      <c r="O543">
        <f t="shared" si="58"/>
        <v>1</v>
      </c>
      <c r="P543">
        <f t="shared" si="63"/>
        <v>2</v>
      </c>
      <c r="R543">
        <f t="shared" si="59"/>
        <v>2</v>
      </c>
      <c r="S543">
        <f t="shared" si="60"/>
        <v>18</v>
      </c>
      <c r="T543">
        <f t="shared" si="61"/>
        <v>0</v>
      </c>
    </row>
    <row r="544" spans="1:20" x14ac:dyDescent="0.2">
      <c r="A544" s="1">
        <v>94</v>
      </c>
      <c r="B544" s="1" t="s">
        <v>104</v>
      </c>
      <c r="C544" s="1">
        <v>1.998</v>
      </c>
      <c r="D544" s="1">
        <v>0</v>
      </c>
      <c r="E544">
        <v>1664</v>
      </c>
      <c r="F544">
        <v>1172</v>
      </c>
      <c r="I544" s="1">
        <v>40.968000000000004</v>
      </c>
      <c r="J544">
        <v>4.2789999999999999</v>
      </c>
      <c r="M544" t="b">
        <f t="shared" si="62"/>
        <v>1</v>
      </c>
      <c r="N544">
        <f t="shared" si="57"/>
        <v>1</v>
      </c>
      <c r="O544">
        <f t="shared" si="58"/>
        <v>0</v>
      </c>
      <c r="P544">
        <f t="shared" si="63"/>
        <v>3</v>
      </c>
      <c r="R544">
        <f t="shared" si="59"/>
        <v>3</v>
      </c>
      <c r="S544">
        <f t="shared" si="60"/>
        <v>18</v>
      </c>
      <c r="T544">
        <f t="shared" si="61"/>
        <v>0</v>
      </c>
    </row>
    <row r="545" spans="1:20" x14ac:dyDescent="0.2">
      <c r="A545" s="1">
        <v>94</v>
      </c>
      <c r="B545" s="1" t="s">
        <v>104</v>
      </c>
      <c r="C545" s="1">
        <v>1.998</v>
      </c>
      <c r="D545" s="1">
        <v>0</v>
      </c>
      <c r="G545">
        <v>2184</v>
      </c>
      <c r="H545">
        <v>2492</v>
      </c>
      <c r="I545" s="1">
        <v>59.521000000000001</v>
      </c>
      <c r="K545">
        <v>-14.185</v>
      </c>
      <c r="M545" t="b">
        <f t="shared" si="62"/>
        <v>1</v>
      </c>
      <c r="N545">
        <f t="shared" si="57"/>
        <v>0</v>
      </c>
      <c r="O545">
        <f t="shared" si="58"/>
        <v>0</v>
      </c>
      <c r="P545">
        <f t="shared" si="63"/>
        <v>4</v>
      </c>
      <c r="R545">
        <f t="shared" si="59"/>
        <v>4</v>
      </c>
      <c r="S545">
        <f t="shared" si="60"/>
        <v>18</v>
      </c>
      <c r="T545">
        <f t="shared" si="61"/>
        <v>0</v>
      </c>
    </row>
    <row r="546" spans="1:20" x14ac:dyDescent="0.2">
      <c r="A546" s="1">
        <v>94</v>
      </c>
      <c r="B546" s="1" t="s">
        <v>104</v>
      </c>
      <c r="C546" s="1">
        <v>1.998</v>
      </c>
      <c r="D546" s="1">
        <v>0</v>
      </c>
      <c r="G546">
        <v>4199</v>
      </c>
      <c r="H546">
        <v>4835</v>
      </c>
      <c r="I546" s="1">
        <v>76.247</v>
      </c>
      <c r="K546">
        <v>0.27500000000000002</v>
      </c>
      <c r="M546" t="b">
        <f t="shared" si="62"/>
        <v>0</v>
      </c>
      <c r="N546">
        <f t="shared" si="57"/>
        <v>0</v>
      </c>
      <c r="O546">
        <f t="shared" si="58"/>
        <v>0</v>
      </c>
      <c r="P546">
        <f t="shared" si="63"/>
        <v>5</v>
      </c>
      <c r="R546">
        <f t="shared" si="59"/>
        <v>5</v>
      </c>
      <c r="S546">
        <f t="shared" si="60"/>
        <v>18</v>
      </c>
      <c r="T546">
        <f t="shared" si="61"/>
        <v>0</v>
      </c>
    </row>
    <row r="547" spans="1:20" x14ac:dyDescent="0.2">
      <c r="A547" s="1">
        <v>94</v>
      </c>
      <c r="B547" s="1" t="s">
        <v>104</v>
      </c>
      <c r="C547" s="1">
        <v>1.998</v>
      </c>
      <c r="D547" s="1">
        <v>1</v>
      </c>
      <c r="G547">
        <v>4196</v>
      </c>
      <c r="H547">
        <v>4831</v>
      </c>
      <c r="I547" s="1">
        <v>76.561999999999998</v>
      </c>
      <c r="K547">
        <v>0</v>
      </c>
      <c r="M547" t="b">
        <f t="shared" si="62"/>
        <v>0</v>
      </c>
      <c r="N547">
        <f t="shared" si="57"/>
        <v>0</v>
      </c>
      <c r="O547">
        <f t="shared" si="58"/>
        <v>1</v>
      </c>
      <c r="P547">
        <f t="shared" si="63"/>
        <v>6</v>
      </c>
      <c r="R547">
        <f t="shared" si="59"/>
        <v>6</v>
      </c>
      <c r="S547">
        <f t="shared" si="60"/>
        <v>18</v>
      </c>
      <c r="T547">
        <f t="shared" si="61"/>
        <v>0</v>
      </c>
    </row>
    <row r="548" spans="1:20" x14ac:dyDescent="0.2">
      <c r="A548" s="1">
        <v>95</v>
      </c>
      <c r="B548" s="1" t="s">
        <v>105</v>
      </c>
      <c r="C548" s="1">
        <v>0.499</v>
      </c>
      <c r="D548" s="1">
        <v>0</v>
      </c>
      <c r="E548">
        <v>5212</v>
      </c>
      <c r="F548">
        <v>3652</v>
      </c>
      <c r="I548" s="1">
        <v>94.174999999999997</v>
      </c>
      <c r="J548">
        <v>6.4000000000000001E-2</v>
      </c>
      <c r="M548" t="b">
        <f t="shared" si="62"/>
        <v>0</v>
      </c>
      <c r="N548">
        <f t="shared" si="57"/>
        <v>1</v>
      </c>
      <c r="O548">
        <f t="shared" si="58"/>
        <v>0</v>
      </c>
      <c r="P548">
        <f t="shared" si="63"/>
        <v>1</v>
      </c>
      <c r="R548">
        <f t="shared" si="59"/>
        <v>1</v>
      </c>
      <c r="S548">
        <f t="shared" si="60"/>
        <v>18</v>
      </c>
      <c r="T548">
        <f t="shared" si="61"/>
        <v>0</v>
      </c>
    </row>
    <row r="549" spans="1:20" x14ac:dyDescent="0.2">
      <c r="A549" s="1">
        <v>95</v>
      </c>
      <c r="B549" s="1" t="s">
        <v>105</v>
      </c>
      <c r="C549" s="1">
        <v>0.499</v>
      </c>
      <c r="D549" s="1">
        <v>1</v>
      </c>
      <c r="E549">
        <v>5212</v>
      </c>
      <c r="F549">
        <v>3652</v>
      </c>
      <c r="I549" s="1">
        <v>94.266000000000005</v>
      </c>
      <c r="J549">
        <v>0</v>
      </c>
      <c r="M549" t="b">
        <f t="shared" si="62"/>
        <v>0</v>
      </c>
      <c r="N549">
        <f t="shared" si="57"/>
        <v>1</v>
      </c>
      <c r="O549">
        <f t="shared" si="58"/>
        <v>1</v>
      </c>
      <c r="P549">
        <f t="shared" si="63"/>
        <v>2</v>
      </c>
      <c r="R549">
        <f t="shared" si="59"/>
        <v>2</v>
      </c>
      <c r="S549">
        <f t="shared" si="60"/>
        <v>18</v>
      </c>
      <c r="T549">
        <f t="shared" si="61"/>
        <v>0</v>
      </c>
    </row>
    <row r="550" spans="1:20" x14ac:dyDescent="0.2">
      <c r="A550" s="1">
        <v>95</v>
      </c>
      <c r="B550" s="1" t="s">
        <v>105</v>
      </c>
      <c r="C550" s="1">
        <v>0.499</v>
      </c>
      <c r="D550" s="1">
        <v>0</v>
      </c>
      <c r="E550">
        <v>1316</v>
      </c>
      <c r="F550">
        <v>969</v>
      </c>
      <c r="I550" s="1">
        <v>33.328000000000003</v>
      </c>
      <c r="J550">
        <v>49.718000000000004</v>
      </c>
      <c r="M550" t="b">
        <f t="shared" si="62"/>
        <v>1</v>
      </c>
      <c r="N550">
        <f t="shared" si="57"/>
        <v>1</v>
      </c>
      <c r="O550">
        <f t="shared" si="58"/>
        <v>0</v>
      </c>
      <c r="P550">
        <f t="shared" si="63"/>
        <v>3</v>
      </c>
      <c r="R550">
        <f t="shared" si="59"/>
        <v>3</v>
      </c>
      <c r="S550">
        <f t="shared" si="60"/>
        <v>18</v>
      </c>
      <c r="T550">
        <f t="shared" si="61"/>
        <v>0</v>
      </c>
    </row>
    <row r="551" spans="1:20" x14ac:dyDescent="0.2">
      <c r="A551" s="1">
        <v>95</v>
      </c>
      <c r="B551" s="1" t="s">
        <v>105</v>
      </c>
      <c r="C551" s="1">
        <v>0.499</v>
      </c>
      <c r="D551" s="1">
        <v>0</v>
      </c>
      <c r="G551">
        <v>492</v>
      </c>
      <c r="H551">
        <v>594</v>
      </c>
      <c r="I551" s="1">
        <v>12.752000000000001</v>
      </c>
      <c r="K551">
        <v>49.527000000000001</v>
      </c>
      <c r="M551" t="b">
        <f t="shared" si="62"/>
        <v>1</v>
      </c>
      <c r="N551">
        <f t="shared" si="57"/>
        <v>0</v>
      </c>
      <c r="O551">
        <f t="shared" si="58"/>
        <v>0</v>
      </c>
      <c r="P551">
        <f t="shared" si="63"/>
        <v>4</v>
      </c>
      <c r="R551">
        <f t="shared" si="59"/>
        <v>4</v>
      </c>
      <c r="S551">
        <f t="shared" si="60"/>
        <v>18</v>
      </c>
      <c r="T551">
        <f t="shared" si="61"/>
        <v>0</v>
      </c>
    </row>
    <row r="552" spans="1:20" x14ac:dyDescent="0.2">
      <c r="A552" s="1">
        <v>95</v>
      </c>
      <c r="B552" s="1" t="s">
        <v>105</v>
      </c>
      <c r="C552" s="1">
        <v>0.499</v>
      </c>
      <c r="D552" s="1">
        <v>0</v>
      </c>
      <c r="G552">
        <v>4196</v>
      </c>
      <c r="H552">
        <v>4832</v>
      </c>
      <c r="I552" s="1">
        <v>76.337999999999994</v>
      </c>
      <c r="K552">
        <v>0.28199999999999997</v>
      </c>
      <c r="M552" t="b">
        <f t="shared" si="62"/>
        <v>0</v>
      </c>
      <c r="N552">
        <f t="shared" si="57"/>
        <v>0</v>
      </c>
      <c r="O552">
        <f t="shared" si="58"/>
        <v>0</v>
      </c>
      <c r="P552">
        <f t="shared" si="63"/>
        <v>5</v>
      </c>
      <c r="R552">
        <f t="shared" si="59"/>
        <v>5</v>
      </c>
      <c r="S552">
        <f t="shared" si="60"/>
        <v>18</v>
      </c>
      <c r="T552">
        <f t="shared" si="61"/>
        <v>0</v>
      </c>
    </row>
    <row r="553" spans="1:20" x14ac:dyDescent="0.2">
      <c r="A553" s="1">
        <v>95</v>
      </c>
      <c r="B553" s="1" t="s">
        <v>105</v>
      </c>
      <c r="C553" s="1">
        <v>0.499</v>
      </c>
      <c r="D553" s="1">
        <v>1</v>
      </c>
      <c r="G553">
        <v>4191</v>
      </c>
      <c r="H553">
        <v>4826</v>
      </c>
      <c r="I553" s="1">
        <v>76.570999999999998</v>
      </c>
      <c r="K553">
        <v>0</v>
      </c>
      <c r="M553" t="b">
        <f t="shared" si="62"/>
        <v>0</v>
      </c>
      <c r="N553">
        <f t="shared" si="57"/>
        <v>0</v>
      </c>
      <c r="O553">
        <f t="shared" si="58"/>
        <v>1</v>
      </c>
      <c r="P553">
        <f t="shared" si="63"/>
        <v>6</v>
      </c>
      <c r="R553">
        <f t="shared" si="59"/>
        <v>6</v>
      </c>
      <c r="S553">
        <f t="shared" si="60"/>
        <v>18</v>
      </c>
      <c r="T553">
        <f t="shared" si="61"/>
        <v>0</v>
      </c>
    </row>
    <row r="554" spans="1:20" x14ac:dyDescent="0.2">
      <c r="A554" s="1">
        <v>96</v>
      </c>
      <c r="B554" s="1" t="s">
        <v>106</v>
      </c>
      <c r="C554" s="1">
        <v>12.002000000000001</v>
      </c>
      <c r="D554" s="1">
        <v>0</v>
      </c>
      <c r="E554">
        <v>5208</v>
      </c>
      <c r="F554">
        <v>3649</v>
      </c>
      <c r="I554" s="1">
        <v>94.305000000000007</v>
      </c>
      <c r="J554">
        <v>9.1999999999999998E-2</v>
      </c>
      <c r="M554" t="b">
        <f t="shared" si="62"/>
        <v>0</v>
      </c>
      <c r="N554">
        <f t="shared" si="57"/>
        <v>1</v>
      </c>
      <c r="O554">
        <f t="shared" si="58"/>
        <v>0</v>
      </c>
      <c r="P554">
        <f t="shared" si="63"/>
        <v>1</v>
      </c>
      <c r="R554">
        <f t="shared" si="59"/>
        <v>1</v>
      </c>
      <c r="S554">
        <f t="shared" si="60"/>
        <v>18</v>
      </c>
      <c r="T554">
        <f t="shared" si="61"/>
        <v>0</v>
      </c>
    </row>
    <row r="555" spans="1:20" x14ac:dyDescent="0.2">
      <c r="A555" s="1">
        <v>96</v>
      </c>
      <c r="B555" s="1" t="s">
        <v>106</v>
      </c>
      <c r="C555" s="1">
        <v>12.002000000000001</v>
      </c>
      <c r="D555" s="1">
        <v>1</v>
      </c>
      <c r="E555">
        <v>5209</v>
      </c>
      <c r="F555">
        <v>3650</v>
      </c>
      <c r="I555" s="1">
        <v>94.236999999999995</v>
      </c>
      <c r="J555">
        <v>0</v>
      </c>
      <c r="M555" t="b">
        <f t="shared" si="62"/>
        <v>0</v>
      </c>
      <c r="N555">
        <f t="shared" si="57"/>
        <v>1</v>
      </c>
      <c r="O555">
        <f t="shared" si="58"/>
        <v>1</v>
      </c>
      <c r="P555">
        <f t="shared" si="63"/>
        <v>2</v>
      </c>
      <c r="R555">
        <f t="shared" si="59"/>
        <v>2</v>
      </c>
      <c r="S555">
        <f t="shared" si="60"/>
        <v>18</v>
      </c>
      <c r="T555">
        <f t="shared" si="61"/>
        <v>0</v>
      </c>
    </row>
    <row r="556" spans="1:20" x14ac:dyDescent="0.2">
      <c r="A556" s="1">
        <v>96</v>
      </c>
      <c r="B556" s="1" t="s">
        <v>106</v>
      </c>
      <c r="C556" s="1">
        <v>12.002000000000001</v>
      </c>
      <c r="D556" s="1">
        <v>0</v>
      </c>
      <c r="E556">
        <v>643</v>
      </c>
      <c r="F556">
        <v>453</v>
      </c>
      <c r="I556" s="1">
        <v>16.419</v>
      </c>
      <c r="J556">
        <v>5.8170000000000002</v>
      </c>
      <c r="M556" t="b">
        <f t="shared" si="62"/>
        <v>1</v>
      </c>
      <c r="N556">
        <f t="shared" si="57"/>
        <v>1</v>
      </c>
      <c r="O556">
        <f t="shared" si="58"/>
        <v>0</v>
      </c>
      <c r="P556">
        <f t="shared" si="63"/>
        <v>3</v>
      </c>
      <c r="R556">
        <f t="shared" si="59"/>
        <v>3</v>
      </c>
      <c r="S556">
        <f t="shared" si="60"/>
        <v>18</v>
      </c>
      <c r="T556">
        <f t="shared" si="61"/>
        <v>0</v>
      </c>
    </row>
    <row r="557" spans="1:20" x14ac:dyDescent="0.2">
      <c r="A557" s="1">
        <v>96</v>
      </c>
      <c r="B557" s="1" t="s">
        <v>106</v>
      </c>
      <c r="C557" s="1">
        <v>12.002000000000001</v>
      </c>
      <c r="D557" s="1">
        <v>0</v>
      </c>
      <c r="G557">
        <v>921</v>
      </c>
      <c r="H557">
        <v>1055</v>
      </c>
      <c r="I557" s="1">
        <v>24.417000000000002</v>
      </c>
      <c r="K557">
        <v>-7.4909999999999997</v>
      </c>
      <c r="M557" t="b">
        <f t="shared" si="62"/>
        <v>1</v>
      </c>
      <c r="N557">
        <f t="shared" si="57"/>
        <v>0</v>
      </c>
      <c r="O557">
        <f t="shared" si="58"/>
        <v>0</v>
      </c>
      <c r="P557">
        <f t="shared" si="63"/>
        <v>4</v>
      </c>
      <c r="R557">
        <f t="shared" si="59"/>
        <v>4</v>
      </c>
      <c r="S557">
        <f t="shared" si="60"/>
        <v>18</v>
      </c>
      <c r="T557">
        <f t="shared" si="61"/>
        <v>0</v>
      </c>
    </row>
    <row r="558" spans="1:20" x14ac:dyDescent="0.2">
      <c r="A558" s="1">
        <v>96</v>
      </c>
      <c r="B558" s="1" t="s">
        <v>106</v>
      </c>
      <c r="C558" s="1">
        <v>12.002000000000001</v>
      </c>
      <c r="D558" s="1">
        <v>0</v>
      </c>
      <c r="G558">
        <v>4192</v>
      </c>
      <c r="H558">
        <v>4829</v>
      </c>
      <c r="I558" s="1">
        <v>76.236999999999995</v>
      </c>
      <c r="K558">
        <v>0.313</v>
      </c>
      <c r="M558" t="b">
        <f t="shared" si="62"/>
        <v>0</v>
      </c>
      <c r="N558">
        <f t="shared" si="57"/>
        <v>0</v>
      </c>
      <c r="O558">
        <f t="shared" si="58"/>
        <v>0</v>
      </c>
      <c r="P558">
        <f t="shared" si="63"/>
        <v>5</v>
      </c>
      <c r="R558">
        <f t="shared" si="59"/>
        <v>5</v>
      </c>
      <c r="S558">
        <f t="shared" si="60"/>
        <v>18</v>
      </c>
      <c r="T558">
        <f t="shared" si="61"/>
        <v>0</v>
      </c>
    </row>
    <row r="559" spans="1:20" x14ac:dyDescent="0.2">
      <c r="A559" s="1">
        <v>96</v>
      </c>
      <c r="B559" s="1" t="s">
        <v>106</v>
      </c>
      <c r="C559" s="1">
        <v>12.002000000000001</v>
      </c>
      <c r="D559" s="1">
        <v>1</v>
      </c>
      <c r="G559">
        <v>4189</v>
      </c>
      <c r="H559">
        <v>4823</v>
      </c>
      <c r="I559" s="1">
        <v>76.480999999999995</v>
      </c>
      <c r="K559">
        <v>0</v>
      </c>
      <c r="M559" t="b">
        <f t="shared" si="62"/>
        <v>0</v>
      </c>
      <c r="N559">
        <f t="shared" si="57"/>
        <v>0</v>
      </c>
      <c r="O559">
        <f t="shared" si="58"/>
        <v>1</v>
      </c>
      <c r="P559">
        <f t="shared" si="63"/>
        <v>6</v>
      </c>
      <c r="R559">
        <f t="shared" si="59"/>
        <v>6</v>
      </c>
      <c r="S559">
        <f t="shared" si="60"/>
        <v>18</v>
      </c>
      <c r="T559">
        <f t="shared" si="61"/>
        <v>0</v>
      </c>
    </row>
    <row r="560" spans="1:20" x14ac:dyDescent="0.2">
      <c r="M560">
        <f t="shared" si="62"/>
        <v>0</v>
      </c>
      <c r="N560">
        <f t="shared" si="57"/>
        <v>0</v>
      </c>
      <c r="O560">
        <f t="shared" si="58"/>
        <v>0</v>
      </c>
      <c r="P560">
        <f t="shared" si="63"/>
        <v>0</v>
      </c>
      <c r="R560">
        <f t="shared" si="59"/>
        <v>0</v>
      </c>
      <c r="S560">
        <f t="shared" si="60"/>
        <v>0</v>
      </c>
      <c r="T560">
        <f t="shared" si="61"/>
        <v>0</v>
      </c>
    </row>
    <row r="561" spans="13:20" x14ac:dyDescent="0.2">
      <c r="M561">
        <f t="shared" si="62"/>
        <v>0</v>
      </c>
      <c r="N561">
        <f t="shared" si="57"/>
        <v>0</v>
      </c>
      <c r="O561">
        <f t="shared" si="58"/>
        <v>0</v>
      </c>
      <c r="P561">
        <f t="shared" si="63"/>
        <v>0</v>
      </c>
      <c r="R561">
        <f t="shared" si="59"/>
        <v>0</v>
      </c>
      <c r="S561">
        <f t="shared" si="60"/>
        <v>0</v>
      </c>
      <c r="T561">
        <f t="shared" si="61"/>
        <v>0</v>
      </c>
    </row>
    <row r="562" spans="13:20" x14ac:dyDescent="0.2">
      <c r="M562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0</v>
      </c>
      <c r="R562">
        <f t="shared" si="59"/>
        <v>0</v>
      </c>
      <c r="S562">
        <f t="shared" si="60"/>
        <v>0</v>
      </c>
      <c r="T562">
        <f t="shared" si="61"/>
        <v>0</v>
      </c>
    </row>
    <row r="563" spans="13:20" x14ac:dyDescent="0.2">
      <c r="M563">
        <f t="shared" si="62"/>
        <v>0</v>
      </c>
      <c r="N563">
        <f t="shared" si="57"/>
        <v>0</v>
      </c>
      <c r="O563">
        <f t="shared" si="58"/>
        <v>0</v>
      </c>
      <c r="P563">
        <f t="shared" si="63"/>
        <v>0</v>
      </c>
      <c r="R563">
        <f t="shared" si="59"/>
        <v>0</v>
      </c>
      <c r="S563">
        <f t="shared" si="60"/>
        <v>0</v>
      </c>
      <c r="T563">
        <f t="shared" si="61"/>
        <v>0</v>
      </c>
    </row>
    <row r="564" spans="13:20" x14ac:dyDescent="0.2">
      <c r="M564">
        <f t="shared" si="62"/>
        <v>0</v>
      </c>
      <c r="N564">
        <f t="shared" si="57"/>
        <v>0</v>
      </c>
      <c r="O564">
        <f t="shared" si="58"/>
        <v>0</v>
      </c>
      <c r="P564">
        <f t="shared" si="63"/>
        <v>0</v>
      </c>
      <c r="R564">
        <f t="shared" si="59"/>
        <v>0</v>
      </c>
      <c r="S564">
        <f t="shared" si="60"/>
        <v>0</v>
      </c>
      <c r="T564">
        <f t="shared" si="61"/>
        <v>0</v>
      </c>
    </row>
    <row r="565" spans="13:20" x14ac:dyDescent="0.2">
      <c r="M565">
        <f t="shared" si="62"/>
        <v>0</v>
      </c>
      <c r="N565">
        <f t="shared" si="57"/>
        <v>0</v>
      </c>
      <c r="O565">
        <f t="shared" si="58"/>
        <v>0</v>
      </c>
      <c r="P565">
        <f t="shared" si="63"/>
        <v>0</v>
      </c>
      <c r="R565">
        <f t="shared" si="59"/>
        <v>0</v>
      </c>
      <c r="S565">
        <f t="shared" si="60"/>
        <v>0</v>
      </c>
      <c r="T565">
        <f t="shared" si="61"/>
        <v>0</v>
      </c>
    </row>
    <row r="566" spans="13:20" x14ac:dyDescent="0.2">
      <c r="M566">
        <f t="shared" si="62"/>
        <v>0</v>
      </c>
      <c r="N566">
        <f t="shared" si="57"/>
        <v>0</v>
      </c>
      <c r="O566">
        <f t="shared" si="58"/>
        <v>0</v>
      </c>
      <c r="P566">
        <f t="shared" si="63"/>
        <v>0</v>
      </c>
      <c r="R566">
        <f t="shared" si="59"/>
        <v>0</v>
      </c>
      <c r="S566">
        <f t="shared" si="60"/>
        <v>0</v>
      </c>
      <c r="T566">
        <f t="shared" si="61"/>
        <v>0</v>
      </c>
    </row>
    <row r="567" spans="13:20" x14ac:dyDescent="0.2">
      <c r="M567">
        <f t="shared" si="62"/>
        <v>0</v>
      </c>
      <c r="N567">
        <f t="shared" si="57"/>
        <v>0</v>
      </c>
      <c r="O567">
        <f t="shared" si="58"/>
        <v>0</v>
      </c>
      <c r="P567">
        <f t="shared" si="63"/>
        <v>0</v>
      </c>
      <c r="R567">
        <f t="shared" si="59"/>
        <v>0</v>
      </c>
      <c r="S567">
        <f t="shared" si="60"/>
        <v>0</v>
      </c>
      <c r="T567">
        <f t="shared" si="61"/>
        <v>0</v>
      </c>
    </row>
    <row r="568" spans="13:20" x14ac:dyDescent="0.2">
      <c r="M568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0</v>
      </c>
      <c r="R568">
        <f t="shared" si="59"/>
        <v>0</v>
      </c>
      <c r="S568">
        <f t="shared" si="60"/>
        <v>0</v>
      </c>
      <c r="T568">
        <f t="shared" si="61"/>
        <v>0</v>
      </c>
    </row>
    <row r="569" spans="13:20" x14ac:dyDescent="0.2">
      <c r="M569">
        <f t="shared" si="62"/>
        <v>0</v>
      </c>
      <c r="N569">
        <f t="shared" si="57"/>
        <v>0</v>
      </c>
      <c r="O569">
        <f t="shared" si="58"/>
        <v>0</v>
      </c>
      <c r="P569">
        <f t="shared" si="63"/>
        <v>0</v>
      </c>
      <c r="R569">
        <f t="shared" si="59"/>
        <v>0</v>
      </c>
      <c r="S569">
        <f t="shared" si="60"/>
        <v>0</v>
      </c>
      <c r="T569">
        <f t="shared" si="61"/>
        <v>0</v>
      </c>
    </row>
    <row r="570" spans="13:20" x14ac:dyDescent="0.2">
      <c r="M570">
        <f t="shared" si="62"/>
        <v>0</v>
      </c>
      <c r="N570">
        <f t="shared" si="57"/>
        <v>0</v>
      </c>
      <c r="O570">
        <f t="shared" si="58"/>
        <v>0</v>
      </c>
      <c r="P570">
        <f t="shared" si="63"/>
        <v>0</v>
      </c>
      <c r="R570">
        <f t="shared" si="59"/>
        <v>0</v>
      </c>
      <c r="S570">
        <f t="shared" si="60"/>
        <v>0</v>
      </c>
      <c r="T570">
        <f t="shared" si="61"/>
        <v>0</v>
      </c>
    </row>
    <row r="571" spans="13:20" x14ac:dyDescent="0.2">
      <c r="M571">
        <f t="shared" si="62"/>
        <v>0</v>
      </c>
      <c r="N571">
        <f t="shared" si="57"/>
        <v>0</v>
      </c>
      <c r="O571">
        <f t="shared" si="58"/>
        <v>0</v>
      </c>
      <c r="P571">
        <f t="shared" si="63"/>
        <v>0</v>
      </c>
      <c r="R571">
        <f t="shared" si="59"/>
        <v>0</v>
      </c>
      <c r="S571">
        <f t="shared" si="60"/>
        <v>0</v>
      </c>
      <c r="T571">
        <f t="shared" si="61"/>
        <v>0</v>
      </c>
    </row>
    <row r="572" spans="13:20" x14ac:dyDescent="0.2">
      <c r="M572">
        <f t="shared" si="62"/>
        <v>0</v>
      </c>
      <c r="N572">
        <f t="shared" si="57"/>
        <v>0</v>
      </c>
      <c r="O572">
        <f t="shared" si="58"/>
        <v>0</v>
      </c>
      <c r="P572">
        <f t="shared" si="63"/>
        <v>0</v>
      </c>
      <c r="R572">
        <f t="shared" si="59"/>
        <v>0</v>
      </c>
      <c r="S572">
        <f t="shared" si="60"/>
        <v>0</v>
      </c>
      <c r="T572">
        <f t="shared" si="61"/>
        <v>0</v>
      </c>
    </row>
    <row r="573" spans="13:20" x14ac:dyDescent="0.2">
      <c r="M573">
        <f t="shared" si="62"/>
        <v>0</v>
      </c>
      <c r="N573">
        <f t="shared" si="57"/>
        <v>0</v>
      </c>
      <c r="O573">
        <f t="shared" si="58"/>
        <v>0</v>
      </c>
      <c r="P573">
        <f t="shared" si="63"/>
        <v>0</v>
      </c>
      <c r="R573">
        <f t="shared" si="59"/>
        <v>0</v>
      </c>
      <c r="S573">
        <f t="shared" si="60"/>
        <v>0</v>
      </c>
      <c r="T573">
        <f t="shared" si="61"/>
        <v>0</v>
      </c>
    </row>
    <row r="574" spans="13:20" x14ac:dyDescent="0.2">
      <c r="M574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0</v>
      </c>
      <c r="R574">
        <f t="shared" si="59"/>
        <v>0</v>
      </c>
      <c r="S574">
        <f t="shared" si="60"/>
        <v>0</v>
      </c>
      <c r="T574">
        <f t="shared" si="61"/>
        <v>0</v>
      </c>
    </row>
    <row r="575" spans="13:20" x14ac:dyDescent="0.2">
      <c r="M575">
        <f t="shared" si="62"/>
        <v>0</v>
      </c>
      <c r="N575">
        <f t="shared" si="57"/>
        <v>0</v>
      </c>
      <c r="O575">
        <f t="shared" si="58"/>
        <v>0</v>
      </c>
      <c r="P575">
        <f t="shared" si="63"/>
        <v>0</v>
      </c>
      <c r="R575">
        <f t="shared" si="59"/>
        <v>0</v>
      </c>
      <c r="S575">
        <f t="shared" si="60"/>
        <v>0</v>
      </c>
      <c r="T575">
        <f t="shared" si="61"/>
        <v>0</v>
      </c>
    </row>
    <row r="576" spans="13:20" x14ac:dyDescent="0.2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2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2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2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2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2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2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2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2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2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2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2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2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2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2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2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2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2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2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2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2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2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2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2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2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2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2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2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2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2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2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2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2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2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2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2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2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2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2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2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2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2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2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2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2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2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2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2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2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2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2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2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2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2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2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2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2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2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2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2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2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2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2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2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2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2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2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2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2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2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2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2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2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2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2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2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2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2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2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2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2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2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2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2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2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2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2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2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2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2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2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2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2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2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2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2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2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2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2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2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2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2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2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2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2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2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2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2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2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2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2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2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2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2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2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2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2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2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2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2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2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2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2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2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2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2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2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2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2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2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2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2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2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2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2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2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2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2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2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2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2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2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2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2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2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2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2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2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2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2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2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2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2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2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2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2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2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2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2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2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2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2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2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2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2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2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2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2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2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2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2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2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2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2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2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2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2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2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2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2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2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2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2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2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2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2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2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2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2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2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2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2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2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2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2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2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2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2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2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2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2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2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2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2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2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2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2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2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2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2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2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2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2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2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2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2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2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2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2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2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2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2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2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2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2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2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2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2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2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2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2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2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2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2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2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2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2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2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2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2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2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2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2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2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2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2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2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2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2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2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2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2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2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2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2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2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2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2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2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2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2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2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2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2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2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2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2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2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2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2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2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2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2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2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2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2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2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2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2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2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2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2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2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2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2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2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2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2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2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2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2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2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2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2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2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2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2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2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2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2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2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2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2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2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2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2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2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2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2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2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2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2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2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2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2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2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2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2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2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2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2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2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2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2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2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2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2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2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2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2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2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2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2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2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2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2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2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2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2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2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2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2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2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2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2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2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2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2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2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2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2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2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2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2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2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2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2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2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2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2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2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2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2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2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2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2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2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2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2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2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2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2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2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2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2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2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2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2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2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2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2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2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2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2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2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2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2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2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2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2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2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2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2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2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2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2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2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2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2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2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2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2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2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2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2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2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2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2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2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2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2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2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2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2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2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2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2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2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2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2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2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2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2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2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2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2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2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2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2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2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2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2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2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2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2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2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2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2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2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2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2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2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2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2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2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2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2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2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2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2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2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2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2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2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2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2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2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2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2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2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2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2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2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2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2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2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2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2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2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2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2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2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2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2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2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2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2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2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2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2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2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2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2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2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2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2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2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2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2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2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2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2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2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2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2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2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2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2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2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2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2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2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2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2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2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2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2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2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2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2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2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2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2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2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2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2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2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2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2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2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2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2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2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2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2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2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2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2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2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2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2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2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2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2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2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2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2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2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2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2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2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2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2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2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2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2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2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2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2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2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2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2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2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2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2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2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2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2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2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2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2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2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2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2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2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2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2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2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2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2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2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2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2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2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2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2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2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2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2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2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2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2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2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2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2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2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2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2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2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2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2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2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2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2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2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2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2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2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2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2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2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2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2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2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2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2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2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2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2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2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2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2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2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2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2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2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2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2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2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2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2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2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2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2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2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2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2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2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2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2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2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2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2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2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2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2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2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2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2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2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2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2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2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2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2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2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2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2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2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2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2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2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2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2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2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2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2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2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2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2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2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2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2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2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2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2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2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2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2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2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2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2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2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2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2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2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2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2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2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2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2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2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2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2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2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2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2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2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2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2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2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2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2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2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2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2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2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2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2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2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2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2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2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2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2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2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2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2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2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2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2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2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2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2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2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2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2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2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2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2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2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2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2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2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2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2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2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2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2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2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2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2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2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2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2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2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2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2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2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2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2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2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2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2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2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2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2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2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2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2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2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2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2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2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2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2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2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2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2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2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2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2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2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2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2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2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2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2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2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2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2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2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2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2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2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2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2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2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2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2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2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2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2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2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2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2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2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2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2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2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2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2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2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2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2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2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2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2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2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2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2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2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2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2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2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2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2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2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2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2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2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2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2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2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2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2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2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2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2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2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2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2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2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2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2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2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2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2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2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2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2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2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2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2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2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2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2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2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2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2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2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2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2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2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2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2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2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2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2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2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2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2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2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2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2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2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2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2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2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2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2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2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2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2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2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2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2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2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2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2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2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2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2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2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2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2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2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2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2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2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2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2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2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2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2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2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2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2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2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2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2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2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2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2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2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2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2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2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2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2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2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2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2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2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2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2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2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2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2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2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2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2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2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2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2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2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2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2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2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2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2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2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2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2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2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2022-11-09T20:20:25Z</dcterms:created>
  <dcterms:modified xsi:type="dcterms:W3CDTF">2022-11-16T20:54:37Z</dcterms:modified>
</cp:coreProperties>
</file>